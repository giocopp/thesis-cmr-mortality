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iocopp/Desktop/Uni/Hertie School/Thesis-MDS/IOM Data/"/>
    </mc:Choice>
  </mc:AlternateContent>
  <xr:revisionPtr revIDLastSave="0" documentId="13_ncr:1_{8092A7BB-3E74-0943-89A8-D5D334F905A2}" xr6:coauthVersionLast="47" xr6:coauthVersionMax="47" xr10:uidLastSave="{00000000-0000-0000-0000-000000000000}"/>
  <bookViews>
    <workbookView showHorizontalScroll="0" showVerticalScroll="0" xWindow="1260" yWindow="680" windowWidth="28980" windowHeight="18960" xr2:uid="{00000000-000D-0000-FFFF-FFFF00000000}"/>
  </bookViews>
  <sheets>
    <sheet name="Crossings 2014-24 ALL ROUTE" sheetId="1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9" i="16" l="1"/>
  <c r="R159" i="16"/>
  <c r="Q159" i="16"/>
  <c r="P159" i="16"/>
  <c r="O159" i="16"/>
  <c r="S159" i="16" s="1"/>
  <c r="L159" i="16"/>
  <c r="K159" i="16"/>
  <c r="J159" i="16"/>
  <c r="I159" i="16"/>
  <c r="H159" i="16"/>
  <c r="G159" i="16"/>
  <c r="E159" i="16"/>
  <c r="D159" i="16"/>
  <c r="C159" i="16"/>
  <c r="AE158" i="16"/>
  <c r="AD158" i="16"/>
  <c r="AC158" i="16"/>
  <c r="AB158" i="16"/>
  <c r="X158" i="16"/>
  <c r="S158" i="16"/>
  <c r="N158" i="16"/>
  <c r="F158" i="16"/>
  <c r="M158" i="16" s="1"/>
  <c r="AE157" i="16"/>
  <c r="AD157" i="16"/>
  <c r="AC157" i="16"/>
  <c r="AB157" i="16"/>
  <c r="X157" i="16"/>
  <c r="S157" i="16"/>
  <c r="N157" i="16"/>
  <c r="F157" i="16"/>
  <c r="M157" i="16" s="1"/>
  <c r="AE156" i="16"/>
  <c r="AD156" i="16"/>
  <c r="AC156" i="16"/>
  <c r="AB156" i="16"/>
  <c r="X156" i="16"/>
  <c r="S156" i="16"/>
  <c r="N156" i="16"/>
  <c r="M156" i="16"/>
  <c r="AE155" i="16"/>
  <c r="AD155" i="16"/>
  <c r="AC155" i="16"/>
  <c r="AB155" i="16"/>
  <c r="X155" i="16"/>
  <c r="S155" i="16"/>
  <c r="N155" i="16"/>
  <c r="M155" i="16"/>
  <c r="AE154" i="16"/>
  <c r="AD154" i="16"/>
  <c r="AC154" i="16"/>
  <c r="AB154" i="16"/>
  <c r="X154" i="16"/>
  <c r="S154" i="16"/>
  <c r="N154" i="16"/>
  <c r="M154" i="16"/>
  <c r="AE153" i="16"/>
  <c r="AD153" i="16"/>
  <c r="AC153" i="16"/>
  <c r="AB153" i="16"/>
  <c r="X153" i="16"/>
  <c r="S153" i="16"/>
  <c r="N153" i="16"/>
  <c r="M153" i="16"/>
  <c r="AE152" i="16"/>
  <c r="AD152" i="16"/>
  <c r="AC152" i="16"/>
  <c r="AB152" i="16"/>
  <c r="X152" i="16"/>
  <c r="S152" i="16"/>
  <c r="N152" i="16"/>
  <c r="M152" i="16"/>
  <c r="AE151" i="16"/>
  <c r="AD151" i="16"/>
  <c r="AC151" i="16"/>
  <c r="AB151" i="16"/>
  <c r="X151" i="16"/>
  <c r="S151" i="16"/>
  <c r="N151" i="16"/>
  <c r="M151" i="16"/>
  <c r="AE150" i="16"/>
  <c r="AD150" i="16"/>
  <c r="AC150" i="16"/>
  <c r="AB150" i="16"/>
  <c r="X150" i="16"/>
  <c r="S150" i="16"/>
  <c r="N150" i="16"/>
  <c r="M150" i="16"/>
  <c r="AE149" i="16"/>
  <c r="AD149" i="16"/>
  <c r="AC149" i="16"/>
  <c r="AB149" i="16"/>
  <c r="X149" i="16"/>
  <c r="S149" i="16"/>
  <c r="M149" i="16"/>
  <c r="AE148" i="16"/>
  <c r="AD148" i="16"/>
  <c r="AC148" i="16"/>
  <c r="AB148" i="16"/>
  <c r="X148" i="16"/>
  <c r="S148" i="16"/>
  <c r="N148" i="16"/>
  <c r="M148" i="16"/>
  <c r="Y148" i="16" s="1"/>
  <c r="AE147" i="16"/>
  <c r="AD147" i="16"/>
  <c r="AC147" i="16"/>
  <c r="AB147" i="16"/>
  <c r="X147" i="16"/>
  <c r="S147" i="16"/>
  <c r="N147" i="16"/>
  <c r="M147" i="16"/>
  <c r="AB144" i="16"/>
  <c r="AC144" i="16"/>
  <c r="AD144" i="16"/>
  <c r="AE144" i="16"/>
  <c r="AB145" i="16"/>
  <c r="AC145" i="16"/>
  <c r="AD145" i="16"/>
  <c r="AE145" i="16"/>
  <c r="S144" i="16"/>
  <c r="S142" i="16"/>
  <c r="S145" i="16"/>
  <c r="AB143" i="16"/>
  <c r="AC143" i="16"/>
  <c r="AD143" i="16"/>
  <c r="AE143" i="16"/>
  <c r="X145" i="16"/>
  <c r="S143" i="16"/>
  <c r="N143" i="16"/>
  <c r="N144" i="16"/>
  <c r="N145" i="16"/>
  <c r="F121" i="16"/>
  <c r="N142" i="16"/>
  <c r="AB134" i="16"/>
  <c r="AC134" i="16"/>
  <c r="AD134" i="16"/>
  <c r="AE134" i="16"/>
  <c r="AB135" i="16"/>
  <c r="AC135" i="16"/>
  <c r="AD135" i="16"/>
  <c r="AE135" i="16"/>
  <c r="AB136" i="16"/>
  <c r="AC136" i="16"/>
  <c r="AD136" i="16"/>
  <c r="AE136" i="16"/>
  <c r="AB137" i="16"/>
  <c r="AC137" i="16"/>
  <c r="AD137" i="16"/>
  <c r="AE137" i="16"/>
  <c r="AB138" i="16"/>
  <c r="AC138" i="16"/>
  <c r="AD138" i="16"/>
  <c r="AE138" i="16"/>
  <c r="AB139" i="16"/>
  <c r="AC139" i="16"/>
  <c r="AD139" i="16"/>
  <c r="AE139" i="16"/>
  <c r="AB140" i="16"/>
  <c r="AC140" i="16"/>
  <c r="AD140" i="16"/>
  <c r="AE140" i="16"/>
  <c r="AB141" i="16"/>
  <c r="AC141" i="16"/>
  <c r="AD141" i="16"/>
  <c r="AE141" i="16"/>
  <c r="AB142" i="16"/>
  <c r="AC142" i="16"/>
  <c r="AD142" i="16"/>
  <c r="AE142" i="16"/>
  <c r="S135" i="16"/>
  <c r="S136" i="16"/>
  <c r="S137" i="16"/>
  <c r="S138" i="16"/>
  <c r="S139" i="16"/>
  <c r="S140" i="16"/>
  <c r="S141" i="16"/>
  <c r="S134" i="16"/>
  <c r="X135" i="16"/>
  <c r="X136" i="16"/>
  <c r="X137" i="16"/>
  <c r="X138" i="16"/>
  <c r="X139" i="16"/>
  <c r="X140" i="16"/>
  <c r="X141" i="16"/>
  <c r="X142" i="16"/>
  <c r="X143" i="16"/>
  <c r="X144" i="16"/>
  <c r="X134" i="16"/>
  <c r="N138" i="16"/>
  <c r="N139" i="16"/>
  <c r="N140" i="16"/>
  <c r="N141" i="16"/>
  <c r="N134" i="16"/>
  <c r="N135" i="16"/>
  <c r="N136" i="16"/>
  <c r="N137" i="16"/>
  <c r="Y157" i="16" l="1"/>
  <c r="Y151" i="16"/>
  <c r="Z151" i="16" s="1"/>
  <c r="AA151" i="16" s="1"/>
  <c r="Y153" i="16"/>
  <c r="Z153" i="16" s="1"/>
  <c r="AA153" i="16" s="1"/>
  <c r="Y147" i="16"/>
  <c r="Y156" i="16"/>
  <c r="Z156" i="16" s="1"/>
  <c r="AA156" i="16" s="1"/>
  <c r="Y154" i="16"/>
  <c r="Z154" i="16" s="1"/>
  <c r="AA154" i="16" s="1"/>
  <c r="Y150" i="16"/>
  <c r="Z150" i="16" s="1"/>
  <c r="AA150" i="16" s="1"/>
  <c r="AE159" i="16"/>
  <c r="N159" i="16"/>
  <c r="Y149" i="16"/>
  <c r="Z149" i="16" s="1"/>
  <c r="AA149" i="16" s="1"/>
  <c r="Y152" i="16"/>
  <c r="Z152" i="16" s="1"/>
  <c r="AA152" i="16" s="1"/>
  <c r="Y155" i="16"/>
  <c r="Z155" i="16" s="1"/>
  <c r="AA155" i="16" s="1"/>
  <c r="Y158" i="16"/>
  <c r="Z158" i="16" s="1"/>
  <c r="AA158" i="16" s="1"/>
  <c r="AB159" i="16"/>
  <c r="AC159" i="16"/>
  <c r="M159" i="16"/>
  <c r="F159" i="16"/>
  <c r="AD159" i="16"/>
  <c r="X159" i="16"/>
  <c r="Z147" i="16"/>
  <c r="AA147" i="16" s="1"/>
  <c r="Z148" i="16"/>
  <c r="AA148" i="16" s="1"/>
  <c r="Z157" i="16"/>
  <c r="AA157" i="16" s="1"/>
  <c r="F135" i="16"/>
  <c r="M135" i="16" s="1"/>
  <c r="Y135" i="16" s="1"/>
  <c r="Z135" i="16" s="1"/>
  <c r="AA135" i="16" s="1"/>
  <c r="F136" i="16"/>
  <c r="M136" i="16" s="1"/>
  <c r="Y136" i="16" s="1"/>
  <c r="Z136" i="16" s="1"/>
  <c r="AA136" i="16" s="1"/>
  <c r="F137" i="16"/>
  <c r="F138" i="16"/>
  <c r="F139" i="16"/>
  <c r="M139" i="16" s="1"/>
  <c r="Y139" i="16" s="1"/>
  <c r="Z139" i="16" s="1"/>
  <c r="AA139" i="16" s="1"/>
  <c r="F140" i="16"/>
  <c r="M140" i="16" s="1"/>
  <c r="Y140" i="16" s="1"/>
  <c r="Z140" i="16" s="1"/>
  <c r="AA140" i="16" s="1"/>
  <c r="F141" i="16"/>
  <c r="M141" i="16" s="1"/>
  <c r="Y141" i="16" s="1"/>
  <c r="Z141" i="16" s="1"/>
  <c r="AA141" i="16" s="1"/>
  <c r="F142" i="16"/>
  <c r="M142" i="16" s="1"/>
  <c r="Y142" i="16" s="1"/>
  <c r="Z142" i="16" s="1"/>
  <c r="AA142" i="16" s="1"/>
  <c r="F143" i="16"/>
  <c r="M143" i="16" s="1"/>
  <c r="Y143" i="16" s="1"/>
  <c r="Z143" i="16" s="1"/>
  <c r="AA143" i="16" s="1"/>
  <c r="F144" i="16"/>
  <c r="M144" i="16" s="1"/>
  <c r="Y144" i="16" s="1"/>
  <c r="Z144" i="16" s="1"/>
  <c r="AA144" i="16" s="1"/>
  <c r="F145" i="16"/>
  <c r="M145" i="16" s="1"/>
  <c r="Y145" i="16" s="1"/>
  <c r="Z145" i="16" s="1"/>
  <c r="AA145" i="16" s="1"/>
  <c r="F134" i="16"/>
  <c r="M134" i="16" s="1"/>
  <c r="W146" i="16"/>
  <c r="V146" i="16"/>
  <c r="U146" i="16"/>
  <c r="T146" i="16"/>
  <c r="R146" i="16"/>
  <c r="Q146" i="16"/>
  <c r="P146" i="16"/>
  <c r="O146" i="16"/>
  <c r="L146" i="16"/>
  <c r="K146" i="16"/>
  <c r="J146" i="16"/>
  <c r="I146" i="16"/>
  <c r="H146" i="16"/>
  <c r="G146" i="16"/>
  <c r="E146" i="16"/>
  <c r="D146" i="16"/>
  <c r="C146" i="16"/>
  <c r="Y159" i="16" l="1"/>
  <c r="Z159" i="16"/>
  <c r="M138" i="16"/>
  <c r="M137" i="16"/>
  <c r="Y137" i="16" s="1"/>
  <c r="Z137" i="16" s="1"/>
  <c r="AA137" i="16" s="1"/>
  <c r="Y134" i="16"/>
  <c r="Z134" i="16" s="1"/>
  <c r="AA134" i="16" s="1"/>
  <c r="AE146" i="16"/>
  <c r="F146" i="16"/>
  <c r="S146" i="16"/>
  <c r="N146" i="16"/>
  <c r="AB146" i="16"/>
  <c r="AC146" i="16"/>
  <c r="AD146" i="16"/>
  <c r="X146" i="16"/>
  <c r="M146" i="16" l="1"/>
  <c r="Y146" i="16" s="1"/>
  <c r="Z146" i="16" s="1"/>
  <c r="Y138" i="16"/>
  <c r="Z138" i="16" s="1"/>
  <c r="AA138" i="16" s="1"/>
  <c r="F129" i="16" l="1"/>
  <c r="F128" i="16"/>
  <c r="F127" i="16"/>
  <c r="F126" i="16"/>
  <c r="F122" i="16"/>
  <c r="M122" i="16" s="1"/>
  <c r="F123" i="16"/>
  <c r="F124" i="16"/>
  <c r="F125" i="16"/>
  <c r="F95" i="16"/>
  <c r="F96" i="16"/>
  <c r="F97" i="16"/>
  <c r="F98" i="16"/>
  <c r="F99" i="16"/>
  <c r="F106" i="16"/>
  <c r="F100" i="16"/>
  <c r="F101" i="16"/>
  <c r="F102" i="16"/>
  <c r="F103" i="16"/>
  <c r="F104" i="16"/>
  <c r="F105" i="16"/>
  <c r="F108" i="16"/>
  <c r="F109" i="16"/>
  <c r="M125" i="16" l="1"/>
  <c r="M126" i="16"/>
  <c r="M127" i="16"/>
  <c r="M128" i="16"/>
  <c r="N126" i="16"/>
  <c r="L133" i="16"/>
  <c r="K133" i="16"/>
  <c r="J133" i="16"/>
  <c r="I133" i="16"/>
  <c r="H133" i="16"/>
  <c r="G133" i="16"/>
  <c r="D133" i="16"/>
  <c r="C133" i="16"/>
  <c r="R133" i="16"/>
  <c r="Q133" i="16"/>
  <c r="P133" i="16"/>
  <c r="O133" i="16"/>
  <c r="E133" i="16"/>
  <c r="AE132" i="16"/>
  <c r="AD132" i="16"/>
  <c r="AC132" i="16"/>
  <c r="AB132" i="16"/>
  <c r="X132" i="16"/>
  <c r="S132" i="16"/>
  <c r="N132" i="16"/>
  <c r="F132" i="16"/>
  <c r="M132" i="16" s="1"/>
  <c r="AE131" i="16"/>
  <c r="AD131" i="16"/>
  <c r="AC131" i="16"/>
  <c r="AB131" i="16"/>
  <c r="X131" i="16"/>
  <c r="S131" i="16"/>
  <c r="N131" i="16"/>
  <c r="F131" i="16"/>
  <c r="M131" i="16" s="1"/>
  <c r="AE130" i="16"/>
  <c r="AD130" i="16"/>
  <c r="AC130" i="16"/>
  <c r="AB130" i="16"/>
  <c r="X130" i="16"/>
  <c r="S130" i="16"/>
  <c r="N130" i="16"/>
  <c r="F130" i="16"/>
  <c r="M130" i="16" s="1"/>
  <c r="AE129" i="16"/>
  <c r="AD129" i="16"/>
  <c r="AC129" i="16"/>
  <c r="AB129" i="16"/>
  <c r="X129" i="16"/>
  <c r="S129" i="16"/>
  <c r="N129" i="16"/>
  <c r="M129" i="16"/>
  <c r="AE128" i="16"/>
  <c r="AD128" i="16"/>
  <c r="AC128" i="16"/>
  <c r="AB128" i="16"/>
  <c r="X128" i="16"/>
  <c r="S128" i="16"/>
  <c r="N128" i="16"/>
  <c r="AE127" i="16"/>
  <c r="AD127" i="16"/>
  <c r="AC127" i="16"/>
  <c r="AB127" i="16"/>
  <c r="X127" i="16"/>
  <c r="S127" i="16"/>
  <c r="N127" i="16"/>
  <c r="AE126" i="16"/>
  <c r="AD126" i="16"/>
  <c r="AC126" i="16"/>
  <c r="AB126" i="16"/>
  <c r="X126" i="16"/>
  <c r="S126" i="16"/>
  <c r="AE125" i="16"/>
  <c r="AD125" i="16"/>
  <c r="AC125" i="16"/>
  <c r="AB125" i="16"/>
  <c r="X125" i="16"/>
  <c r="S125" i="16"/>
  <c r="N125" i="16"/>
  <c r="AE124" i="16"/>
  <c r="AD124" i="16"/>
  <c r="AC124" i="16"/>
  <c r="AB124" i="16"/>
  <c r="X124" i="16"/>
  <c r="S124" i="16"/>
  <c r="N124" i="16"/>
  <c r="M124" i="16"/>
  <c r="AE123" i="16"/>
  <c r="AD123" i="16"/>
  <c r="AC123" i="16"/>
  <c r="AB123" i="16"/>
  <c r="X123" i="16"/>
  <c r="S123" i="16"/>
  <c r="N123" i="16"/>
  <c r="M123" i="16"/>
  <c r="AE122" i="16"/>
  <c r="AD122" i="16"/>
  <c r="AC122" i="16"/>
  <c r="AB122" i="16"/>
  <c r="X122" i="16"/>
  <c r="S122" i="16"/>
  <c r="N122" i="16"/>
  <c r="AE121" i="16"/>
  <c r="AD121" i="16"/>
  <c r="AC121" i="16"/>
  <c r="AB121" i="16"/>
  <c r="X121" i="16"/>
  <c r="S121" i="16"/>
  <c r="N121" i="16"/>
  <c r="N133" i="16" l="1"/>
  <c r="S133" i="16"/>
  <c r="T133" i="16"/>
  <c r="AB133" i="16" s="1"/>
  <c r="U133" i="16"/>
  <c r="AC133" i="16" s="1"/>
  <c r="V133" i="16"/>
  <c r="AD133" i="16" s="1"/>
  <c r="W133" i="16"/>
  <c r="AE133" i="16" s="1"/>
  <c r="Y127" i="16"/>
  <c r="Z127" i="16" s="1"/>
  <c r="AA127" i="16" s="1"/>
  <c r="Y130" i="16"/>
  <c r="Z130" i="16" s="1"/>
  <c r="AA130" i="16" s="1"/>
  <c r="Y124" i="16"/>
  <c r="Z124" i="16" s="1"/>
  <c r="AA124" i="16" s="1"/>
  <c r="Y122" i="16"/>
  <c r="Z122" i="16" s="1"/>
  <c r="AA122" i="16" s="1"/>
  <c r="Y125" i="16"/>
  <c r="Z125" i="16" s="1"/>
  <c r="AA125" i="16" s="1"/>
  <c r="Y128" i="16"/>
  <c r="Z128" i="16" s="1"/>
  <c r="AA128" i="16" s="1"/>
  <c r="Y131" i="16"/>
  <c r="Z131" i="16" s="1"/>
  <c r="AA131" i="16" s="1"/>
  <c r="Y123" i="16"/>
  <c r="Z123" i="16" s="1"/>
  <c r="AA123" i="16" s="1"/>
  <c r="Y126" i="16"/>
  <c r="Z126" i="16" s="1"/>
  <c r="AA126" i="16" s="1"/>
  <c r="Y129" i="16"/>
  <c r="Z129" i="16" s="1"/>
  <c r="AA129" i="16" s="1"/>
  <c r="Y132" i="16"/>
  <c r="Z132" i="16" s="1"/>
  <c r="AA132" i="16" s="1"/>
  <c r="F133" i="16"/>
  <c r="M121" i="16"/>
  <c r="M133" i="16" s="1"/>
  <c r="R120" i="16"/>
  <c r="Q120" i="16"/>
  <c r="P120" i="16"/>
  <c r="O120" i="16"/>
  <c r="L120" i="16"/>
  <c r="K120" i="16"/>
  <c r="J120" i="16"/>
  <c r="I120" i="16"/>
  <c r="H120" i="16"/>
  <c r="G120" i="16"/>
  <c r="E120" i="16"/>
  <c r="D120" i="16"/>
  <c r="C120" i="16"/>
  <c r="S119" i="16"/>
  <c r="N119" i="16"/>
  <c r="F119" i="16"/>
  <c r="M119" i="16" s="1"/>
  <c r="S118" i="16"/>
  <c r="N118" i="16"/>
  <c r="F118" i="16"/>
  <c r="M118" i="16" s="1"/>
  <c r="S117" i="16"/>
  <c r="N117" i="16"/>
  <c r="F117" i="16"/>
  <c r="M117" i="16" s="1"/>
  <c r="S116" i="16"/>
  <c r="N116" i="16"/>
  <c r="F116" i="16"/>
  <c r="M116" i="16" s="1"/>
  <c r="S115" i="16"/>
  <c r="N115" i="16"/>
  <c r="F115" i="16"/>
  <c r="M115" i="16" s="1"/>
  <c r="S114" i="16"/>
  <c r="N114" i="16"/>
  <c r="F114" i="16"/>
  <c r="M114" i="16" s="1"/>
  <c r="S113" i="16"/>
  <c r="N113" i="16"/>
  <c r="F113" i="16"/>
  <c r="M113" i="16" s="1"/>
  <c r="S112" i="16"/>
  <c r="N112" i="16"/>
  <c r="F112" i="16"/>
  <c r="M112" i="16" s="1"/>
  <c r="S111" i="16"/>
  <c r="N111" i="16"/>
  <c r="F111" i="16"/>
  <c r="M111" i="16" s="1"/>
  <c r="S110" i="16"/>
  <c r="N110" i="16"/>
  <c r="F110" i="16"/>
  <c r="M110" i="16" s="1"/>
  <c r="S109" i="16"/>
  <c r="N109" i="16"/>
  <c r="M109" i="16"/>
  <c r="S108" i="16"/>
  <c r="N108" i="16"/>
  <c r="AC109" i="16"/>
  <c r="AC110" i="16"/>
  <c r="AC111" i="16"/>
  <c r="AC112" i="16"/>
  <c r="AC113" i="16"/>
  <c r="AC114" i="16"/>
  <c r="AC115" i="16"/>
  <c r="AC116" i="16"/>
  <c r="AC117" i="16"/>
  <c r="AC118" i="16"/>
  <c r="AC119" i="16"/>
  <c r="AB108" i="16"/>
  <c r="AB109" i="16"/>
  <c r="AB110" i="16"/>
  <c r="AB111" i="16"/>
  <c r="AB112" i="16"/>
  <c r="AB113" i="16"/>
  <c r="AB114" i="16"/>
  <c r="AB115" i="16"/>
  <c r="AB116" i="16"/>
  <c r="AB117" i="16"/>
  <c r="AB118" i="16"/>
  <c r="AB119" i="16"/>
  <c r="X133" i="16" l="1"/>
  <c r="F120" i="16"/>
  <c r="M108" i="16"/>
  <c r="M120" i="16" s="1"/>
  <c r="Y121" i="16"/>
  <c r="Z121" i="16" s="1"/>
  <c r="AA121" i="16" s="1"/>
  <c r="S120" i="16"/>
  <c r="N120" i="16"/>
  <c r="W120" i="16"/>
  <c r="T16" i="16"/>
  <c r="U16" i="16"/>
  <c r="V16" i="16"/>
  <c r="W16" i="16"/>
  <c r="Y133" i="16" l="1"/>
  <c r="Z133" i="16" s="1"/>
  <c r="AA133" i="16" s="1"/>
  <c r="R94" i="16"/>
  <c r="R107" i="16"/>
  <c r="S18" i="16"/>
  <c r="S19" i="16"/>
  <c r="S20" i="16"/>
  <c r="S21" i="16"/>
  <c r="S22" i="16"/>
  <c r="S23" i="16"/>
  <c r="S24" i="16"/>
  <c r="S25" i="16"/>
  <c r="S26" i="16"/>
  <c r="S27" i="16"/>
  <c r="S28" i="16"/>
  <c r="S30" i="16"/>
  <c r="S31" i="16"/>
  <c r="S32" i="16"/>
  <c r="S33" i="16"/>
  <c r="S34" i="16"/>
  <c r="S35" i="16"/>
  <c r="S36" i="16"/>
  <c r="S37" i="16"/>
  <c r="S38" i="16"/>
  <c r="S39" i="16"/>
  <c r="S40" i="16"/>
  <c r="S41" i="16"/>
  <c r="S43" i="16"/>
  <c r="S44" i="16"/>
  <c r="S45" i="16"/>
  <c r="S47" i="16"/>
  <c r="S48" i="16"/>
  <c r="S49" i="16"/>
  <c r="S50" i="16"/>
  <c r="S52" i="16"/>
  <c r="S53" i="16"/>
  <c r="S54" i="16"/>
  <c r="S56" i="16"/>
  <c r="S57" i="16"/>
  <c r="S58" i="16"/>
  <c r="S59" i="16"/>
  <c r="S60" i="16"/>
  <c r="S61" i="16"/>
  <c r="S62" i="16"/>
  <c r="S63" i="16"/>
  <c r="S64" i="16"/>
  <c r="S69" i="16"/>
  <c r="S71" i="16"/>
  <c r="S72" i="16"/>
  <c r="S75" i="16"/>
  <c r="S76" i="16"/>
  <c r="S77" i="16"/>
  <c r="S78" i="16"/>
  <c r="S79" i="16"/>
  <c r="S80" i="16"/>
  <c r="S82" i="16"/>
  <c r="S83" i="16"/>
  <c r="S84" i="16"/>
  <c r="S85" i="16"/>
  <c r="S86" i="16"/>
  <c r="S87" i="16"/>
  <c r="S88" i="16"/>
  <c r="S89" i="16"/>
  <c r="S90" i="16"/>
  <c r="S91" i="16"/>
  <c r="S92" i="16"/>
  <c r="S93" i="16"/>
  <c r="S95" i="16"/>
  <c r="S96" i="16"/>
  <c r="S97" i="16"/>
  <c r="S98" i="16"/>
  <c r="S99" i="16"/>
  <c r="S100" i="16"/>
  <c r="S101" i="16"/>
  <c r="S102" i="16"/>
  <c r="S103" i="16"/>
  <c r="S104" i="16"/>
  <c r="S105" i="16"/>
  <c r="S106" i="16"/>
  <c r="S17" i="16"/>
  <c r="X109" i="16"/>
  <c r="Y109" i="16" s="1"/>
  <c r="X110" i="16"/>
  <c r="Y110" i="16" s="1"/>
  <c r="X111" i="16"/>
  <c r="Y111" i="16" s="1"/>
  <c r="X112" i="16"/>
  <c r="Y112" i="16" s="1"/>
  <c r="X113" i="16"/>
  <c r="Y113" i="16" s="1"/>
  <c r="X114" i="16"/>
  <c r="Y114" i="16" s="1"/>
  <c r="X115" i="16"/>
  <c r="Y115" i="16" s="1"/>
  <c r="X116" i="16"/>
  <c r="Y116" i="16" s="1"/>
  <c r="X117" i="16"/>
  <c r="Y117" i="16" s="1"/>
  <c r="X118" i="16"/>
  <c r="Y118" i="16" s="1"/>
  <c r="X119" i="16"/>
  <c r="Y119" i="16" s="1"/>
  <c r="X108" i="16"/>
  <c r="N4" i="16"/>
  <c r="N5" i="16"/>
  <c r="N6" i="16"/>
  <c r="N7" i="16"/>
  <c r="N8" i="16"/>
  <c r="N9" i="16"/>
  <c r="N10" i="16"/>
  <c r="N11" i="16"/>
  <c r="N12" i="16"/>
  <c r="N13" i="16"/>
  <c r="N14" i="16"/>
  <c r="N15" i="16"/>
  <c r="N17" i="16"/>
  <c r="N18" i="16"/>
  <c r="N19" i="16"/>
  <c r="N20" i="16"/>
  <c r="N21" i="16"/>
  <c r="N22" i="16"/>
  <c r="N23" i="16"/>
  <c r="N24" i="16"/>
  <c r="N25" i="16"/>
  <c r="N26" i="16"/>
  <c r="N27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6" i="16"/>
  <c r="N57" i="16"/>
  <c r="N58" i="16"/>
  <c r="N59" i="16"/>
  <c r="N60" i="16"/>
  <c r="N61" i="16"/>
  <c r="N62" i="16"/>
  <c r="N63" i="16"/>
  <c r="N64" i="16"/>
  <c r="N66" i="16"/>
  <c r="N67" i="16"/>
  <c r="N69" i="16"/>
  <c r="N71" i="16"/>
  <c r="N72" i="16"/>
  <c r="N73" i="16"/>
  <c r="N74" i="16"/>
  <c r="N75" i="16"/>
  <c r="N76" i="16"/>
  <c r="N78" i="16"/>
  <c r="N79" i="16"/>
  <c r="N80" i="16"/>
  <c r="N84" i="16"/>
  <c r="N85" i="16"/>
  <c r="N86" i="16"/>
  <c r="N87" i="16"/>
  <c r="N89" i="16"/>
  <c r="N90" i="16"/>
  <c r="N91" i="16"/>
  <c r="N92" i="16"/>
  <c r="N93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AB106" i="16"/>
  <c r="X95" i="16"/>
  <c r="V120" i="16"/>
  <c r="U120" i="16"/>
  <c r="T120" i="16"/>
  <c r="AE119" i="16"/>
  <c r="AD119" i="16"/>
  <c r="AE118" i="16"/>
  <c r="AD118" i="16"/>
  <c r="AE117" i="16"/>
  <c r="AD117" i="16"/>
  <c r="AE116" i="16"/>
  <c r="AD116" i="16"/>
  <c r="AE115" i="16"/>
  <c r="AD115" i="16"/>
  <c r="AE114" i="16"/>
  <c r="AD114" i="16"/>
  <c r="AE113" i="16"/>
  <c r="AD113" i="16"/>
  <c r="AE112" i="16"/>
  <c r="AD112" i="16"/>
  <c r="AE111" i="16"/>
  <c r="AD111" i="16"/>
  <c r="AE110" i="16"/>
  <c r="AD110" i="16"/>
  <c r="AE109" i="16"/>
  <c r="AD109" i="16"/>
  <c r="AE108" i="16"/>
  <c r="AD108" i="16"/>
  <c r="AC108" i="16"/>
  <c r="AE56" i="16"/>
  <c r="AE57" i="16"/>
  <c r="AE58" i="16"/>
  <c r="AE59" i="16"/>
  <c r="AE60" i="16"/>
  <c r="AE61" i="16"/>
  <c r="AE62" i="16"/>
  <c r="AE63" i="16"/>
  <c r="AE64" i="16"/>
  <c r="AE65" i="16"/>
  <c r="AE66" i="16"/>
  <c r="AE67" i="16"/>
  <c r="AE69" i="16"/>
  <c r="AE70" i="16"/>
  <c r="AE71" i="16"/>
  <c r="AE72" i="16"/>
  <c r="AE73" i="16"/>
  <c r="AE74" i="16"/>
  <c r="AE76" i="16"/>
  <c r="AE77" i="16"/>
  <c r="AE78" i="16"/>
  <c r="AE79" i="16"/>
  <c r="AE80" i="16"/>
  <c r="AE82" i="16"/>
  <c r="AE83" i="16"/>
  <c r="AE84" i="16"/>
  <c r="AE85" i="16"/>
  <c r="AE86" i="16"/>
  <c r="AE87" i="16"/>
  <c r="AE88" i="16"/>
  <c r="AE89" i="16"/>
  <c r="AE90" i="16"/>
  <c r="AE91" i="16"/>
  <c r="AE92" i="16"/>
  <c r="AE93" i="16"/>
  <c r="AE95" i="16"/>
  <c r="AE96" i="16"/>
  <c r="AE97" i="16"/>
  <c r="AE98" i="16"/>
  <c r="AE99" i="16"/>
  <c r="AE100" i="16"/>
  <c r="AE101" i="16"/>
  <c r="AE102" i="16"/>
  <c r="AE103" i="16"/>
  <c r="AE104" i="16"/>
  <c r="AE105" i="16"/>
  <c r="AE106" i="16"/>
  <c r="AE16" i="16"/>
  <c r="M38" i="16"/>
  <c r="M4" i="16"/>
  <c r="AD17" i="16"/>
  <c r="AD18" i="16"/>
  <c r="AD19" i="16"/>
  <c r="AD20" i="16"/>
  <c r="AD21" i="16"/>
  <c r="AD22" i="16"/>
  <c r="AD23" i="16"/>
  <c r="AD24" i="16"/>
  <c r="AD25" i="16"/>
  <c r="AD26" i="16"/>
  <c r="AD27" i="16"/>
  <c r="AD28" i="16"/>
  <c r="AD30" i="16"/>
  <c r="AD31" i="16"/>
  <c r="AD32" i="16"/>
  <c r="AD33" i="16"/>
  <c r="AD34" i="16"/>
  <c r="AD35" i="16"/>
  <c r="AD36" i="16"/>
  <c r="AD37" i="16"/>
  <c r="AD38" i="16"/>
  <c r="AD39" i="16"/>
  <c r="AD40" i="16"/>
  <c r="AD41" i="16"/>
  <c r="AD43" i="16"/>
  <c r="AD44" i="16"/>
  <c r="AD45" i="16"/>
  <c r="AD46" i="16"/>
  <c r="AD47" i="16"/>
  <c r="AD48" i="16"/>
  <c r="AD49" i="16"/>
  <c r="AD50" i="16"/>
  <c r="AD51" i="16"/>
  <c r="AD52" i="16"/>
  <c r="AD53" i="16"/>
  <c r="AD54" i="16"/>
  <c r="AD56" i="16"/>
  <c r="AD57" i="16"/>
  <c r="AD58" i="16"/>
  <c r="AD59" i="16"/>
  <c r="AD60" i="16"/>
  <c r="AD61" i="16"/>
  <c r="AD62" i="16"/>
  <c r="AD63" i="16"/>
  <c r="AD64" i="16"/>
  <c r="AD65" i="16"/>
  <c r="AD66" i="16"/>
  <c r="AD67" i="16"/>
  <c r="AD69" i="16"/>
  <c r="AD70" i="16"/>
  <c r="AD71" i="16"/>
  <c r="AD72" i="16"/>
  <c r="AD73" i="16"/>
  <c r="AD74" i="16"/>
  <c r="AD75" i="16"/>
  <c r="AD76" i="16"/>
  <c r="AD77" i="16"/>
  <c r="AD78" i="16"/>
  <c r="AD79" i="16"/>
  <c r="AD80" i="16"/>
  <c r="AD82" i="16"/>
  <c r="AD83" i="16"/>
  <c r="AD84" i="16"/>
  <c r="AD85" i="16"/>
  <c r="AD86" i="16"/>
  <c r="AD87" i="16"/>
  <c r="AD88" i="16"/>
  <c r="AD89" i="16"/>
  <c r="AD90" i="16"/>
  <c r="AD91" i="16"/>
  <c r="AD92" i="16"/>
  <c r="AD93" i="16"/>
  <c r="AD95" i="16"/>
  <c r="AD96" i="16"/>
  <c r="AD97" i="16"/>
  <c r="AD98" i="16"/>
  <c r="AD99" i="16"/>
  <c r="AD100" i="16"/>
  <c r="AD101" i="16"/>
  <c r="AD102" i="16"/>
  <c r="AD103" i="16"/>
  <c r="AD104" i="16"/>
  <c r="AD105" i="16"/>
  <c r="AD106" i="16"/>
  <c r="W107" i="16"/>
  <c r="X5" i="16"/>
  <c r="X6" i="16"/>
  <c r="X7" i="16"/>
  <c r="X8" i="16"/>
  <c r="X9" i="16"/>
  <c r="X10" i="16"/>
  <c r="X11" i="16"/>
  <c r="X12" i="16"/>
  <c r="X13" i="16"/>
  <c r="X14" i="16"/>
  <c r="X15" i="16"/>
  <c r="X17" i="16"/>
  <c r="X18" i="16"/>
  <c r="X19" i="16"/>
  <c r="X20" i="16"/>
  <c r="X21" i="16"/>
  <c r="X22" i="16"/>
  <c r="X23" i="16"/>
  <c r="X24" i="16"/>
  <c r="X25" i="16"/>
  <c r="X26" i="16"/>
  <c r="X27" i="16"/>
  <c r="X28" i="16"/>
  <c r="X30" i="16"/>
  <c r="X31" i="16"/>
  <c r="X32" i="16"/>
  <c r="X33" i="16"/>
  <c r="X34" i="16"/>
  <c r="X35" i="16"/>
  <c r="X36" i="16"/>
  <c r="X37" i="16"/>
  <c r="X38" i="16"/>
  <c r="X39" i="16"/>
  <c r="X40" i="16"/>
  <c r="X41" i="16"/>
  <c r="X43" i="16"/>
  <c r="X44" i="16"/>
  <c r="X45" i="16"/>
  <c r="X46" i="16"/>
  <c r="X47" i="16"/>
  <c r="X48" i="16"/>
  <c r="X49" i="16"/>
  <c r="X50" i="16"/>
  <c r="X51" i="16"/>
  <c r="X52" i="16"/>
  <c r="X53" i="16"/>
  <c r="X54" i="16"/>
  <c r="X56" i="16"/>
  <c r="X57" i="16"/>
  <c r="X58" i="16"/>
  <c r="X59" i="16"/>
  <c r="X60" i="16"/>
  <c r="X61" i="16"/>
  <c r="X62" i="16"/>
  <c r="X63" i="16"/>
  <c r="X64" i="16"/>
  <c r="X65" i="16"/>
  <c r="X66" i="16"/>
  <c r="X67" i="16"/>
  <c r="X69" i="16"/>
  <c r="X70" i="16"/>
  <c r="X71" i="16"/>
  <c r="X72" i="16"/>
  <c r="X73" i="16"/>
  <c r="X74" i="16"/>
  <c r="X75" i="16"/>
  <c r="X76" i="16"/>
  <c r="X77" i="16"/>
  <c r="X78" i="16"/>
  <c r="X79" i="16"/>
  <c r="X80" i="16"/>
  <c r="X82" i="16"/>
  <c r="X83" i="16"/>
  <c r="X84" i="16"/>
  <c r="X85" i="16"/>
  <c r="X86" i="16"/>
  <c r="X87" i="16"/>
  <c r="X88" i="16"/>
  <c r="X89" i="16"/>
  <c r="X90" i="16"/>
  <c r="X91" i="16"/>
  <c r="X92" i="16"/>
  <c r="X93" i="16"/>
  <c r="X96" i="16"/>
  <c r="X97" i="16"/>
  <c r="X98" i="16"/>
  <c r="X99" i="16"/>
  <c r="X100" i="16"/>
  <c r="X101" i="16"/>
  <c r="X102" i="16"/>
  <c r="X103" i="16"/>
  <c r="X104" i="16"/>
  <c r="X105" i="16"/>
  <c r="X106" i="16"/>
  <c r="X4" i="16"/>
  <c r="W55" i="16"/>
  <c r="W42" i="16"/>
  <c r="AE42" i="16" s="1"/>
  <c r="W29" i="16"/>
  <c r="AE29" i="16" s="1"/>
  <c r="AB100" i="16"/>
  <c r="AB101" i="16"/>
  <c r="AB102" i="16"/>
  <c r="AB103" i="16"/>
  <c r="AB104" i="16"/>
  <c r="AB105" i="16"/>
  <c r="AC100" i="16"/>
  <c r="AC101" i="16"/>
  <c r="AC102" i="16"/>
  <c r="AC103" i="16"/>
  <c r="AC104" i="16"/>
  <c r="AC105" i="16"/>
  <c r="AC106" i="16"/>
  <c r="W94" i="16"/>
  <c r="W81" i="16"/>
  <c r="W68" i="16"/>
  <c r="D107" i="16"/>
  <c r="E107" i="16"/>
  <c r="C107" i="16"/>
  <c r="F83" i="16"/>
  <c r="F84" i="16"/>
  <c r="F85" i="16"/>
  <c r="F86" i="16"/>
  <c r="F87" i="16"/>
  <c r="F88" i="16"/>
  <c r="F89" i="16"/>
  <c r="F90" i="16"/>
  <c r="F91" i="16"/>
  <c r="F92" i="16"/>
  <c r="F93" i="16"/>
  <c r="F82" i="16"/>
  <c r="D94" i="16"/>
  <c r="E94" i="16"/>
  <c r="C94" i="16"/>
  <c r="F70" i="16"/>
  <c r="F71" i="16"/>
  <c r="F72" i="16"/>
  <c r="F73" i="16"/>
  <c r="F74" i="16"/>
  <c r="F75" i="16"/>
  <c r="F76" i="16"/>
  <c r="F77" i="16"/>
  <c r="F78" i="16"/>
  <c r="F79" i="16"/>
  <c r="F80" i="16"/>
  <c r="F69" i="16"/>
  <c r="D81" i="16"/>
  <c r="E81" i="16"/>
  <c r="C81" i="16"/>
  <c r="F57" i="16"/>
  <c r="F58" i="16"/>
  <c r="F59" i="16"/>
  <c r="F60" i="16"/>
  <c r="F61" i="16"/>
  <c r="F62" i="16"/>
  <c r="F63" i="16"/>
  <c r="F64" i="16"/>
  <c r="F65" i="16"/>
  <c r="F66" i="16"/>
  <c r="F67" i="16"/>
  <c r="F56" i="16"/>
  <c r="D68" i="16"/>
  <c r="E55" i="16"/>
  <c r="C68" i="16"/>
  <c r="F44" i="16"/>
  <c r="F45" i="16"/>
  <c r="F46" i="16"/>
  <c r="F47" i="16"/>
  <c r="F48" i="16"/>
  <c r="F49" i="16"/>
  <c r="F50" i="16"/>
  <c r="F51" i="16"/>
  <c r="F52" i="16"/>
  <c r="F53" i="16"/>
  <c r="F54" i="16"/>
  <c r="F43" i="16"/>
  <c r="D55" i="16"/>
  <c r="C55" i="16"/>
  <c r="D42" i="16"/>
  <c r="F29" i="16"/>
  <c r="D29" i="16"/>
  <c r="AE107" i="16" l="1"/>
  <c r="F107" i="16"/>
  <c r="Z116" i="16"/>
  <c r="AA116" i="16" s="1"/>
  <c r="AB120" i="16"/>
  <c r="Z4" i="16"/>
  <c r="Z38" i="16"/>
  <c r="Y4" i="16"/>
  <c r="Z109" i="16"/>
  <c r="AA109" i="16" s="1"/>
  <c r="Z117" i="16"/>
  <c r="AA117" i="16" s="1"/>
  <c r="Y108" i="16"/>
  <c r="Z108" i="16" s="1"/>
  <c r="AA108" i="16" s="1"/>
  <c r="Z114" i="16"/>
  <c r="AA114" i="16" s="1"/>
  <c r="Z113" i="16"/>
  <c r="AA113" i="16" s="1"/>
  <c r="Z118" i="16"/>
  <c r="AA118" i="16" s="1"/>
  <c r="Z110" i="16"/>
  <c r="AA110" i="16" s="1"/>
  <c r="Z112" i="16"/>
  <c r="AA112" i="16" s="1"/>
  <c r="Z111" i="16"/>
  <c r="AA111" i="16" s="1"/>
  <c r="Z119" i="16"/>
  <c r="AA119" i="16" s="1"/>
  <c r="Z115" i="16"/>
  <c r="AA115" i="16" s="1"/>
  <c r="X120" i="16"/>
  <c r="Y120" i="16" s="1"/>
  <c r="AC120" i="16"/>
  <c r="AC160" i="16" s="1"/>
  <c r="AD120" i="16"/>
  <c r="AE120" i="16"/>
  <c r="M44" i="16"/>
  <c r="Z44" i="16" s="1"/>
  <c r="AE68" i="16"/>
  <c r="AE81" i="16"/>
  <c r="AE94" i="16"/>
  <c r="AE55" i="16"/>
  <c r="M105" i="16"/>
  <c r="F94" i="16"/>
  <c r="F81" i="16"/>
  <c r="F68" i="16"/>
  <c r="V107" i="16" l="1"/>
  <c r="AD107" i="16" s="1"/>
  <c r="U107" i="16"/>
  <c r="T107" i="16"/>
  <c r="Q107" i="16"/>
  <c r="P107" i="16"/>
  <c r="O107" i="16"/>
  <c r="L107" i="16"/>
  <c r="K107" i="16"/>
  <c r="J107" i="16"/>
  <c r="I107" i="16"/>
  <c r="H107" i="16"/>
  <c r="G107" i="16"/>
  <c r="M106" i="16"/>
  <c r="M104" i="16"/>
  <c r="M103" i="16"/>
  <c r="M102" i="16"/>
  <c r="M101" i="16"/>
  <c r="M100" i="16"/>
  <c r="AC99" i="16"/>
  <c r="AB99" i="16"/>
  <c r="M99" i="16"/>
  <c r="AC98" i="16"/>
  <c r="AB98" i="16"/>
  <c r="M98" i="16"/>
  <c r="AC97" i="16"/>
  <c r="AB97" i="16"/>
  <c r="M97" i="16"/>
  <c r="AC96" i="16"/>
  <c r="AB96" i="16"/>
  <c r="M96" i="16"/>
  <c r="AC95" i="16"/>
  <c r="AB95" i="16"/>
  <c r="Y95" i="16"/>
  <c r="Z95" i="16" s="1"/>
  <c r="M95" i="16"/>
  <c r="V94" i="16"/>
  <c r="AD94" i="16" s="1"/>
  <c r="U94" i="16"/>
  <c r="T94" i="16"/>
  <c r="Q94" i="16"/>
  <c r="P94" i="16"/>
  <c r="O94" i="16"/>
  <c r="L94" i="16"/>
  <c r="K94" i="16"/>
  <c r="J94" i="16"/>
  <c r="I94" i="16"/>
  <c r="G94" i="16"/>
  <c r="AC93" i="16"/>
  <c r="AB93" i="16"/>
  <c r="M93" i="16"/>
  <c r="AC92" i="16"/>
  <c r="AB92" i="16"/>
  <c r="M92" i="16"/>
  <c r="AC91" i="16"/>
  <c r="AB91" i="16"/>
  <c r="M91" i="16"/>
  <c r="AC90" i="16"/>
  <c r="AB90" i="16"/>
  <c r="M90" i="16"/>
  <c r="AC89" i="16"/>
  <c r="AB89" i="16"/>
  <c r="M89" i="16"/>
  <c r="AB88" i="16"/>
  <c r="H88" i="16"/>
  <c r="N88" i="16" s="1"/>
  <c r="AC87" i="16"/>
  <c r="AB87" i="16"/>
  <c r="M87" i="16"/>
  <c r="AC86" i="16"/>
  <c r="AB86" i="16"/>
  <c r="M86" i="16"/>
  <c r="AC85" i="16"/>
  <c r="AB85" i="16"/>
  <c r="M85" i="16"/>
  <c r="AC84" i="16"/>
  <c r="AB84" i="16"/>
  <c r="M84" i="16"/>
  <c r="AB83" i="16"/>
  <c r="H83" i="16"/>
  <c r="N83" i="16" s="1"/>
  <c r="AB82" i="16"/>
  <c r="H82" i="16"/>
  <c r="N82" i="16" s="1"/>
  <c r="V81" i="16"/>
  <c r="AD81" i="16" s="1"/>
  <c r="U81" i="16"/>
  <c r="T81" i="16"/>
  <c r="Q81" i="16"/>
  <c r="O81" i="16"/>
  <c r="L81" i="16"/>
  <c r="K81" i="16"/>
  <c r="I81" i="16"/>
  <c r="G81" i="16"/>
  <c r="AC80" i="16"/>
  <c r="AB80" i="16"/>
  <c r="M80" i="16"/>
  <c r="Z80" i="16" s="1"/>
  <c r="AC79" i="16"/>
  <c r="AB79" i="16"/>
  <c r="M79" i="16"/>
  <c r="Z79" i="16" s="1"/>
  <c r="AC78" i="16"/>
  <c r="AB78" i="16"/>
  <c r="M78" i="16"/>
  <c r="Z78" i="16" s="1"/>
  <c r="AB77" i="16"/>
  <c r="H77" i="16"/>
  <c r="N77" i="16" s="1"/>
  <c r="AC76" i="16"/>
  <c r="AB76" i="16"/>
  <c r="M76" i="16"/>
  <c r="Z76" i="16" s="1"/>
  <c r="AC75" i="16"/>
  <c r="AB75" i="16"/>
  <c r="M75" i="16"/>
  <c r="Z75" i="16" s="1"/>
  <c r="AI74" i="16"/>
  <c r="AB74" i="16"/>
  <c r="M74" i="16"/>
  <c r="AB73" i="16"/>
  <c r="M73" i="16"/>
  <c r="AC72" i="16"/>
  <c r="AB72" i="16"/>
  <c r="M72" i="16"/>
  <c r="Z72" i="16" s="1"/>
  <c r="AC71" i="16"/>
  <c r="AB71" i="16"/>
  <c r="M71" i="16"/>
  <c r="Z71" i="16" s="1"/>
  <c r="P70" i="16"/>
  <c r="J70" i="16"/>
  <c r="N70" i="16" s="1"/>
  <c r="AC69" i="16"/>
  <c r="AB69" i="16"/>
  <c r="M69" i="16"/>
  <c r="Z69" i="16" s="1"/>
  <c r="V68" i="16"/>
  <c r="U68" i="16"/>
  <c r="T68" i="16"/>
  <c r="O68" i="16"/>
  <c r="K68" i="16"/>
  <c r="J68" i="16"/>
  <c r="I68" i="16"/>
  <c r="G68" i="16"/>
  <c r="E68" i="16"/>
  <c r="AB67" i="16"/>
  <c r="P67" i="16"/>
  <c r="S67" i="16" s="1"/>
  <c r="M67" i="16"/>
  <c r="AB66" i="16"/>
  <c r="P66" i="16"/>
  <c r="M66" i="16"/>
  <c r="AB65" i="16"/>
  <c r="P65" i="16"/>
  <c r="S65" i="16" s="1"/>
  <c r="M65" i="16"/>
  <c r="H65" i="16"/>
  <c r="N65" i="16" s="1"/>
  <c r="AC64" i="16"/>
  <c r="AB64" i="16"/>
  <c r="M64" i="16"/>
  <c r="Z64" i="16" s="1"/>
  <c r="AC63" i="16"/>
  <c r="AB63" i="16"/>
  <c r="M63" i="16"/>
  <c r="Z63" i="16" s="1"/>
  <c r="AC62" i="16"/>
  <c r="AB62" i="16"/>
  <c r="M62" i="16"/>
  <c r="Z62" i="16" s="1"/>
  <c r="AI61" i="16"/>
  <c r="AG61" i="16"/>
  <c r="AB61" i="16"/>
  <c r="AH61" i="16"/>
  <c r="M61" i="16"/>
  <c r="Z61" i="16" s="1"/>
  <c r="AC60" i="16"/>
  <c r="AB60" i="16"/>
  <c r="M60" i="16"/>
  <c r="Z60" i="16" s="1"/>
  <c r="AC59" i="16"/>
  <c r="AB59" i="16"/>
  <c r="M59" i="16"/>
  <c r="Z59" i="16" s="1"/>
  <c r="AC58" i="16"/>
  <c r="AB58" i="16"/>
  <c r="M58" i="16"/>
  <c r="Z58" i="16" s="1"/>
  <c r="AC57" i="16"/>
  <c r="AB57" i="16"/>
  <c r="M57" i="16"/>
  <c r="Z57" i="16" s="1"/>
  <c r="AC56" i="16"/>
  <c r="AB56" i="16"/>
  <c r="M56" i="16"/>
  <c r="Z56" i="16" s="1"/>
  <c r="V55" i="16"/>
  <c r="AD55" i="16" s="1"/>
  <c r="U55" i="16"/>
  <c r="T55" i="16"/>
  <c r="P55" i="16"/>
  <c r="O55" i="16"/>
  <c r="K55" i="16"/>
  <c r="J55" i="16"/>
  <c r="I55" i="16"/>
  <c r="H55" i="16"/>
  <c r="G55" i="16"/>
  <c r="AC54" i="16"/>
  <c r="AB54" i="16"/>
  <c r="M54" i="16"/>
  <c r="Z54" i="16" s="1"/>
  <c r="AC53" i="16"/>
  <c r="AB53" i="16"/>
  <c r="M53" i="16"/>
  <c r="Z53" i="16" s="1"/>
  <c r="AC52" i="16"/>
  <c r="AB52" i="16"/>
  <c r="M52" i="16"/>
  <c r="Z52" i="16" s="1"/>
  <c r="AB51" i="16"/>
  <c r="Q51" i="16"/>
  <c r="M51" i="16"/>
  <c r="AC50" i="16"/>
  <c r="AB50" i="16"/>
  <c r="M50" i="16"/>
  <c r="Z50" i="16" s="1"/>
  <c r="AC49" i="16"/>
  <c r="AB49" i="16"/>
  <c r="M49" i="16"/>
  <c r="Z49" i="16" s="1"/>
  <c r="AI48" i="16"/>
  <c r="AG48" i="16"/>
  <c r="AC48" i="16"/>
  <c r="AB48" i="16"/>
  <c r="M48" i="16"/>
  <c r="Z48" i="16" s="1"/>
  <c r="AC47" i="16"/>
  <c r="AB47" i="16"/>
  <c r="M47" i="16"/>
  <c r="Z47" i="16" s="1"/>
  <c r="AB46" i="16"/>
  <c r="Q46" i="16"/>
  <c r="S46" i="16" s="1"/>
  <c r="M46" i="16"/>
  <c r="AC45" i="16"/>
  <c r="AB45" i="16"/>
  <c r="M45" i="16"/>
  <c r="Z45" i="16" s="1"/>
  <c r="AC44" i="16"/>
  <c r="AB44" i="16"/>
  <c r="AC43" i="16"/>
  <c r="AB43" i="16"/>
  <c r="M43" i="16"/>
  <c r="Z43" i="16" s="1"/>
  <c r="V42" i="16"/>
  <c r="AD42" i="16" s="1"/>
  <c r="U42" i="16"/>
  <c r="T42" i="16"/>
  <c r="P42" i="16"/>
  <c r="O42" i="16"/>
  <c r="K42" i="16"/>
  <c r="J42" i="16"/>
  <c r="I42" i="16"/>
  <c r="H42" i="16"/>
  <c r="G42" i="16"/>
  <c r="F42" i="16"/>
  <c r="AC41" i="16"/>
  <c r="AB41" i="16"/>
  <c r="M41" i="16"/>
  <c r="Z41" i="16" s="1"/>
  <c r="AC40" i="16"/>
  <c r="AB40" i="16"/>
  <c r="M40" i="16"/>
  <c r="Z40" i="16" s="1"/>
  <c r="AC39" i="16"/>
  <c r="AB39" i="16"/>
  <c r="M39" i="16"/>
  <c r="Z39" i="16" s="1"/>
  <c r="AC38" i="16"/>
  <c r="AB38" i="16"/>
  <c r="AC37" i="16"/>
  <c r="AB37" i="16"/>
  <c r="M37" i="16"/>
  <c r="Z37" i="16" s="1"/>
  <c r="AC36" i="16"/>
  <c r="AB36" i="16"/>
  <c r="M36" i="16"/>
  <c r="Z36" i="16" s="1"/>
  <c r="AI35" i="16"/>
  <c r="AH35" i="16"/>
  <c r="AG35" i="16"/>
  <c r="AC35" i="16"/>
  <c r="AB35" i="16"/>
  <c r="M35" i="16"/>
  <c r="Z35" i="16" s="1"/>
  <c r="AC34" i="16"/>
  <c r="AB34" i="16"/>
  <c r="M34" i="16"/>
  <c r="Z34" i="16" s="1"/>
  <c r="AC33" i="16"/>
  <c r="AB33" i="16"/>
  <c r="M33" i="16"/>
  <c r="Z33" i="16" s="1"/>
  <c r="AC32" i="16"/>
  <c r="AB32" i="16"/>
  <c r="M32" i="16"/>
  <c r="Z32" i="16" s="1"/>
  <c r="AC31" i="16"/>
  <c r="AB31" i="16"/>
  <c r="M31" i="16"/>
  <c r="Z31" i="16" s="1"/>
  <c r="AC30" i="16"/>
  <c r="AB30" i="16"/>
  <c r="M30" i="16"/>
  <c r="Z30" i="16" s="1"/>
  <c r="V29" i="16"/>
  <c r="AD29" i="16" s="1"/>
  <c r="U29" i="16"/>
  <c r="T29" i="16"/>
  <c r="O29" i="16"/>
  <c r="S29" i="16" s="1"/>
  <c r="J29" i="16"/>
  <c r="I29" i="16"/>
  <c r="H29" i="16"/>
  <c r="AB28" i="16"/>
  <c r="G28" i="16"/>
  <c r="N28" i="16" s="1"/>
  <c r="AC27" i="16"/>
  <c r="AB27" i="16"/>
  <c r="M27" i="16"/>
  <c r="Z27" i="16" s="1"/>
  <c r="AC26" i="16"/>
  <c r="AB26" i="16"/>
  <c r="M26" i="16"/>
  <c r="Z26" i="16" s="1"/>
  <c r="AC25" i="16"/>
  <c r="AB25" i="16"/>
  <c r="M25" i="16"/>
  <c r="Z25" i="16" s="1"/>
  <c r="AC24" i="16"/>
  <c r="AB24" i="16"/>
  <c r="M24" i="16"/>
  <c r="Z24" i="16" s="1"/>
  <c r="AC23" i="16"/>
  <c r="AB23" i="16"/>
  <c r="M23" i="16"/>
  <c r="Z23" i="16" s="1"/>
  <c r="AI22" i="16"/>
  <c r="AH22" i="16"/>
  <c r="AG22" i="16"/>
  <c r="AC22" i="16"/>
  <c r="AB22" i="16"/>
  <c r="M22" i="16"/>
  <c r="Z22" i="16" s="1"/>
  <c r="AC21" i="16"/>
  <c r="AB21" i="16"/>
  <c r="M21" i="16"/>
  <c r="Z21" i="16" s="1"/>
  <c r="AC20" i="16"/>
  <c r="AB20" i="16"/>
  <c r="M20" i="16"/>
  <c r="Z20" i="16" s="1"/>
  <c r="AC19" i="16"/>
  <c r="AB19" i="16"/>
  <c r="M19" i="16"/>
  <c r="Z19" i="16" s="1"/>
  <c r="AC18" i="16"/>
  <c r="AB18" i="16"/>
  <c r="M18" i="16"/>
  <c r="Z18" i="16" s="1"/>
  <c r="AC17" i="16"/>
  <c r="AB17" i="16"/>
  <c r="M17" i="16"/>
  <c r="Z17" i="16" s="1"/>
  <c r="AD16" i="16"/>
  <c r="J16" i="16"/>
  <c r="G16" i="16"/>
  <c r="AC15" i="16"/>
  <c r="AB15" i="16"/>
  <c r="M15" i="16"/>
  <c r="Z15" i="16" s="1"/>
  <c r="AC14" i="16"/>
  <c r="AB14" i="16"/>
  <c r="M14" i="16"/>
  <c r="Z14" i="16" s="1"/>
  <c r="AC13" i="16"/>
  <c r="AB13" i="16"/>
  <c r="M13" i="16"/>
  <c r="Z13" i="16" s="1"/>
  <c r="AC12" i="16"/>
  <c r="AB12" i="16"/>
  <c r="M12" i="16"/>
  <c r="Z12" i="16" s="1"/>
  <c r="AC11" i="16"/>
  <c r="AB11" i="16"/>
  <c r="M11" i="16"/>
  <c r="Z11" i="16" s="1"/>
  <c r="AC10" i="16"/>
  <c r="AB10" i="16"/>
  <c r="M10" i="16"/>
  <c r="Z10" i="16" s="1"/>
  <c r="AC9" i="16"/>
  <c r="AB9" i="16"/>
  <c r="M9" i="16"/>
  <c r="Z9" i="16" s="1"/>
  <c r="AC8" i="16"/>
  <c r="AB8" i="16"/>
  <c r="M8" i="16"/>
  <c r="Z8" i="16" s="1"/>
  <c r="AC7" i="16"/>
  <c r="AB7" i="16"/>
  <c r="M7" i="16"/>
  <c r="Z7" i="16" s="1"/>
  <c r="AC6" i="16"/>
  <c r="AB6" i="16"/>
  <c r="M6" i="16"/>
  <c r="Z6" i="16" s="1"/>
  <c r="AC5" i="16"/>
  <c r="AB5" i="16"/>
  <c r="M5" i="16"/>
  <c r="Z5" i="16" s="1"/>
  <c r="AC4" i="16"/>
  <c r="AB4" i="16"/>
  <c r="S42" i="16" l="1"/>
  <c r="Z65" i="16"/>
  <c r="AA65" i="16" s="1"/>
  <c r="Z67" i="16"/>
  <c r="S94" i="16"/>
  <c r="Z46" i="16"/>
  <c r="AA46" i="16" s="1"/>
  <c r="AC66" i="16"/>
  <c r="S66" i="16"/>
  <c r="Z66" i="16" s="1"/>
  <c r="AA66" i="16" s="1"/>
  <c r="AC51" i="16"/>
  <c r="S51" i="16"/>
  <c r="Z51" i="16" s="1"/>
  <c r="S55" i="16"/>
  <c r="S107" i="16"/>
  <c r="X55" i="16"/>
  <c r="P73" i="16"/>
  <c r="AC73" i="16" s="1"/>
  <c r="S70" i="16"/>
  <c r="N107" i="16"/>
  <c r="N16" i="16"/>
  <c r="X42" i="16"/>
  <c r="N42" i="16"/>
  <c r="X68" i="16"/>
  <c r="X16" i="16"/>
  <c r="N55" i="16"/>
  <c r="M42" i="16"/>
  <c r="X29" i="16"/>
  <c r="Z120" i="16"/>
  <c r="X81" i="16"/>
  <c r="X94" i="16"/>
  <c r="M107" i="16"/>
  <c r="M16" i="16"/>
  <c r="G29" i="16"/>
  <c r="N29" i="16" s="1"/>
  <c r="AD68" i="16"/>
  <c r="AG74" i="16"/>
  <c r="H81" i="16"/>
  <c r="AC82" i="16"/>
  <c r="AC88" i="16"/>
  <c r="X107" i="16"/>
  <c r="Y103" i="16"/>
  <c r="Z103" i="16" s="1"/>
  <c r="AA103" i="16" s="1"/>
  <c r="AA4" i="16"/>
  <c r="AA11" i="16"/>
  <c r="Y62" i="16"/>
  <c r="AB70" i="16"/>
  <c r="Y43" i="16"/>
  <c r="AA45" i="16"/>
  <c r="AB107" i="16"/>
  <c r="AA71" i="16"/>
  <c r="AC77" i="16"/>
  <c r="Y9" i="16"/>
  <c r="Y27" i="16"/>
  <c r="Y50" i="16"/>
  <c r="Y59" i="16"/>
  <c r="Y67" i="16"/>
  <c r="Y80" i="16"/>
  <c r="Y100" i="16"/>
  <c r="Z100" i="16" s="1"/>
  <c r="AA100" i="16" s="1"/>
  <c r="Y104" i="16"/>
  <c r="Z104" i="16" s="1"/>
  <c r="AA104" i="16" s="1"/>
  <c r="Y106" i="16"/>
  <c r="Z106" i="16" s="1"/>
  <c r="AA106" i="16" s="1"/>
  <c r="AA78" i="16"/>
  <c r="Y78" i="16"/>
  <c r="Y99" i="16"/>
  <c r="Z99" i="16" s="1"/>
  <c r="AA99" i="16" s="1"/>
  <c r="Y17" i="16"/>
  <c r="AA19" i="16"/>
  <c r="Y38" i="16"/>
  <c r="Y90" i="16"/>
  <c r="Z90" i="16" s="1"/>
  <c r="AA90" i="16" s="1"/>
  <c r="AA38" i="16"/>
  <c r="AA69" i="16"/>
  <c r="AA59" i="16"/>
  <c r="AB16" i="16"/>
  <c r="AC70" i="16"/>
  <c r="Y45" i="16"/>
  <c r="AA63" i="16"/>
  <c r="AA10" i="16"/>
  <c r="Y63" i="16"/>
  <c r="AA20" i="16"/>
  <c r="Y40" i="16"/>
  <c r="AA43" i="16"/>
  <c r="Y52" i="16"/>
  <c r="AC67" i="16"/>
  <c r="AA76" i="16"/>
  <c r="AA80" i="16"/>
  <c r="Y105" i="16"/>
  <c r="Z105" i="16" s="1"/>
  <c r="AA105" i="16" s="1"/>
  <c r="AA14" i="16"/>
  <c r="AA13" i="16"/>
  <c r="AA79" i="16"/>
  <c r="AA36" i="16"/>
  <c r="Y37" i="16"/>
  <c r="M70" i="16"/>
  <c r="Y85" i="16"/>
  <c r="Z85" i="16" s="1"/>
  <c r="AA85" i="16" s="1"/>
  <c r="Y91" i="16"/>
  <c r="Z91" i="16" s="1"/>
  <c r="AA91" i="16" s="1"/>
  <c r="AA8" i="16"/>
  <c r="AA12" i="16"/>
  <c r="AA15" i="16"/>
  <c r="AA32" i="16"/>
  <c r="AB42" i="16"/>
  <c r="AA48" i="16"/>
  <c r="AA50" i="16"/>
  <c r="Y71" i="16"/>
  <c r="Y84" i="16"/>
  <c r="Z84" i="16" s="1"/>
  <c r="AA84" i="16" s="1"/>
  <c r="AB94" i="16"/>
  <c r="Y15" i="16"/>
  <c r="AA21" i="16"/>
  <c r="Y22" i="16"/>
  <c r="AA25" i="16"/>
  <c r="AA57" i="16"/>
  <c r="Y58" i="16"/>
  <c r="AC61" i="16"/>
  <c r="AA72" i="16"/>
  <c r="Y76" i="16"/>
  <c r="Y96" i="16"/>
  <c r="Z96" i="16" s="1"/>
  <c r="AA96" i="16" s="1"/>
  <c r="AA67" i="16"/>
  <c r="Y6" i="16"/>
  <c r="Y10" i="16"/>
  <c r="Y11" i="16"/>
  <c r="Y12" i="16"/>
  <c r="AA17" i="16"/>
  <c r="Y18" i="16"/>
  <c r="AB29" i="16"/>
  <c r="Y30" i="16"/>
  <c r="AA33" i="16"/>
  <c r="Y48" i="16"/>
  <c r="AA52" i="16"/>
  <c r="AA54" i="16"/>
  <c r="AC65" i="16"/>
  <c r="Y86" i="16"/>
  <c r="Z86" i="16" s="1"/>
  <c r="AA86" i="16" s="1"/>
  <c r="Y93" i="16"/>
  <c r="Z93" i="16" s="1"/>
  <c r="AA93" i="16" s="1"/>
  <c r="AA6" i="16"/>
  <c r="AB68" i="16"/>
  <c r="M77" i="16"/>
  <c r="H94" i="16"/>
  <c r="N94" i="16" s="1"/>
  <c r="AC107" i="16"/>
  <c r="AA5" i="16"/>
  <c r="AA9" i="16"/>
  <c r="Y25" i="16"/>
  <c r="AA27" i="16"/>
  <c r="Y47" i="16"/>
  <c r="AB55" i="16"/>
  <c r="AA64" i="16"/>
  <c r="Y77" i="16"/>
  <c r="Y89" i="16"/>
  <c r="Z89" i="16" s="1"/>
  <c r="AA89" i="16" s="1"/>
  <c r="Y98" i="16"/>
  <c r="Z98" i="16" s="1"/>
  <c r="AA98" i="16" s="1"/>
  <c r="Y102" i="16"/>
  <c r="Z102" i="16" s="1"/>
  <c r="AA102" i="16" s="1"/>
  <c r="AA30" i="16"/>
  <c r="AC42" i="16"/>
  <c r="P68" i="16"/>
  <c r="Y14" i="16"/>
  <c r="Y21" i="16"/>
  <c r="AA40" i="16"/>
  <c r="Y41" i="16"/>
  <c r="AA44" i="16"/>
  <c r="Y49" i="16"/>
  <c r="AC55" i="16"/>
  <c r="H68" i="16"/>
  <c r="N68" i="16" s="1"/>
  <c r="Y31" i="16"/>
  <c r="AA53" i="16"/>
  <c r="Y19" i="16"/>
  <c r="Y23" i="16"/>
  <c r="AA26" i="16"/>
  <c r="Y34" i="16"/>
  <c r="Y75" i="16"/>
  <c r="Y82" i="16"/>
  <c r="Z82" i="16" s="1"/>
  <c r="Y101" i="16"/>
  <c r="Z101" i="16" s="1"/>
  <c r="AA101" i="16" s="1"/>
  <c r="AC16" i="16"/>
  <c r="AA7" i="16"/>
  <c r="Y7" i="16"/>
  <c r="AA23" i="16"/>
  <c r="Y24" i="16"/>
  <c r="Y32" i="16"/>
  <c r="AA34" i="16"/>
  <c r="Y35" i="16"/>
  <c r="Y36" i="16"/>
  <c r="AA39" i="16"/>
  <c r="Y57" i="16"/>
  <c r="AA60" i="16"/>
  <c r="AA62" i="16"/>
  <c r="Y46" i="16"/>
  <c r="AJ48" i="16"/>
  <c r="Y5" i="16"/>
  <c r="Y13" i="16"/>
  <c r="Y26" i="16"/>
  <c r="Y33" i="16"/>
  <c r="Y8" i="16"/>
  <c r="AA18" i="16"/>
  <c r="AA22" i="16"/>
  <c r="AJ22" i="16"/>
  <c r="AA24" i="16"/>
  <c r="AA31" i="16"/>
  <c r="AA35" i="16"/>
  <c r="AJ35" i="16"/>
  <c r="AA37" i="16"/>
  <c r="AA41" i="16"/>
  <c r="Y44" i="16"/>
  <c r="AA47" i="16"/>
  <c r="AH48" i="16"/>
  <c r="AA49" i="16"/>
  <c r="Y53" i="16"/>
  <c r="Y54" i="16"/>
  <c r="M55" i="16"/>
  <c r="AA58" i="16"/>
  <c r="Y64" i="16"/>
  <c r="Y65" i="16"/>
  <c r="AA75" i="16"/>
  <c r="Y79" i="16"/>
  <c r="Y87" i="16"/>
  <c r="Z87" i="16" s="1"/>
  <c r="AA87" i="16" s="1"/>
  <c r="Y88" i="16"/>
  <c r="Z88" i="16" s="1"/>
  <c r="AA95" i="16"/>
  <c r="Y20" i="16"/>
  <c r="Y56" i="16"/>
  <c r="AC46" i="16"/>
  <c r="F55" i="16"/>
  <c r="M82" i="16"/>
  <c r="Y39" i="16"/>
  <c r="Y60" i="16"/>
  <c r="Q68" i="16"/>
  <c r="Y69" i="16"/>
  <c r="Y72" i="16"/>
  <c r="Y92" i="16"/>
  <c r="Z92" i="16" s="1"/>
  <c r="AA92" i="16" s="1"/>
  <c r="Y97" i="16"/>
  <c r="Z97" i="16" s="1"/>
  <c r="AA97" i="16" s="1"/>
  <c r="M28" i="16"/>
  <c r="AC28" i="16"/>
  <c r="AA56" i="16"/>
  <c r="AA61" i="16"/>
  <c r="M83" i="16"/>
  <c r="AC83" i="16"/>
  <c r="Y28" i="16"/>
  <c r="J81" i="16"/>
  <c r="Y83" i="16"/>
  <c r="Z83" i="16" s="1"/>
  <c r="M88" i="16"/>
  <c r="AC29" i="16" l="1"/>
  <c r="Z70" i="16"/>
  <c r="AA70" i="16" s="1"/>
  <c r="Z77" i="16"/>
  <c r="AA77" i="16" s="1"/>
  <c r="AA83" i="16"/>
  <c r="Y51" i="16"/>
  <c r="Z16" i="16"/>
  <c r="AA16" i="16" s="1"/>
  <c r="AA88" i="16"/>
  <c r="Z55" i="16"/>
  <c r="AA55" i="16" s="1"/>
  <c r="Z28" i="16"/>
  <c r="AA28" i="16" s="1"/>
  <c r="S68" i="16"/>
  <c r="Y68" i="16" s="1"/>
  <c r="Z42" i="16"/>
  <c r="AA42" i="16" s="1"/>
  <c r="N81" i="16"/>
  <c r="P74" i="16"/>
  <c r="P81" i="16" s="1"/>
  <c r="S73" i="16"/>
  <c r="M81" i="16"/>
  <c r="M68" i="16"/>
  <c r="AC94" i="16"/>
  <c r="M29" i="16"/>
  <c r="Y70" i="16"/>
  <c r="Y16" i="16"/>
  <c r="Y29" i="16"/>
  <c r="AA51" i="16"/>
  <c r="AC68" i="16"/>
  <c r="Y94" i="16"/>
  <c r="Z94" i="16" s="1"/>
  <c r="AB81" i="16"/>
  <c r="Y66" i="16"/>
  <c r="Y55" i="16"/>
  <c r="Y61" i="16"/>
  <c r="AJ61" i="16"/>
  <c r="AA82" i="16"/>
  <c r="M94" i="16"/>
  <c r="Y107" i="16"/>
  <c r="Z107" i="16" s="1"/>
  <c r="AA107" i="16" s="1"/>
  <c r="Y42" i="16"/>
  <c r="AA94" i="16" l="1"/>
  <c r="Z68" i="16"/>
  <c r="AA68" i="16" s="1"/>
  <c r="Y73" i="16"/>
  <c r="Z73" i="16"/>
  <c r="AA73" i="16" s="1"/>
  <c r="Z29" i="16"/>
  <c r="AA29" i="16" s="1"/>
  <c r="AC81" i="16"/>
  <c r="S81" i="16"/>
  <c r="Z81" i="16" s="1"/>
  <c r="AA81" i="16" s="1"/>
  <c r="S74" i="16"/>
  <c r="Z74" i="16" s="1"/>
  <c r="AH74" i="16"/>
  <c r="AC74" i="16"/>
  <c r="Y81" i="16" l="1"/>
  <c r="Y74" i="16"/>
  <c r="AA74" i="16"/>
  <c r="AJ7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BLACK Julia</author>
    <author>tc={DBB4727F-96B6-4262-B0CC-D7319D750357}</author>
    <author>tc={676CF3D7-C1E7-4FDD-9618-063C04C9E4EE}</author>
    <author>tc={0D44D9A1-DF37-4692-8D8F-1814800BC841}</author>
    <author>tc={08C2BA64-D8D7-4432-A114-D2D51D7596B8}</author>
    <author>tc={63017561-D5A0-4FC8-A9F0-814C19CB6009}</author>
    <author>tc={E47055A9-0C75-4725-95BB-EBABA86AE5D7}</author>
    <author>tc={D5C295AB-6F44-41AD-8BB8-F2F33AE108B6}</author>
    <author>tc={10595C36-D789-4973-B34F-A37C79FCBAF5}</author>
    <author>tc={1DFAE8B1-A23E-4C6E-BA79-03B842AF28F6}</author>
    <author>tc={0A50BB0E-8BBE-45A2-B0BF-B93AF1412C33}</author>
    <author>tc={E4062E61-C1FF-4CE0-B81B-CE6C2DF0BD54}</author>
    <author>tc={DF1CD30F-30ED-485B-B2E9-203E81B2D610}</author>
  </authors>
  <commentList>
    <comment ref="L1" authorId="0" shapeId="0" xr:uid="{C21B2DCC-F0E4-4A87-9609-73073DA283CA}">
      <text>
        <r>
          <rPr>
            <b/>
            <sz val="9"/>
            <color indexed="81"/>
            <rFont val="Tahoma"/>
            <family val="2"/>
          </rPr>
          <t>BLACK Julia:</t>
        </r>
        <r>
          <rPr>
            <sz val="9"/>
            <color indexed="81"/>
            <rFont val="Tahoma"/>
            <family val="2"/>
          </rPr>
          <t xml:space="preserve">
Includes irregular crossings of the 'green line' from Turkish-held northern Cyprus with the presumption that these are people who arrived by sea in northern Cyprus (Turkey considers these internal movements and does not report them as arrivals)</t>
        </r>
      </text>
    </comment>
    <comment ref="Q29" authorId="1" shapeId="0" xr:uid="{DBB4727F-96B6-4262-B0CC-D7319D750357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not match up to monthly totals (641) in FTDES report
https://ftdes.net/rapports/fr.omm2016.pdf</t>
      </text>
    </comment>
    <comment ref="Q42" authorId="2" shapeId="0" xr:uid="{676CF3D7-C1E7-4FDD-9618-063C04C9E4EE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not match monthly totals (1105) in FTDES report
https://ftdes.net/rapports/fr.omm2016.pdf</t>
      </text>
    </comment>
    <comment ref="Q55" authorId="3" shapeId="0" xr:uid="{0D44D9A1-DF37-4692-8D8F-1814800BC841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FTDES https://ftdes.net/rapports/en.omm3.2017.pdf</t>
      </text>
    </comment>
    <comment ref="G81" authorId="4" shapeId="0" xr:uid="{08C2BA64-D8D7-4432-A114-D2D51D7596B8}">
      <text>
        <t>[Threaded comment]
Your version of Excel allows you to read this threaded comment; however, any edits to it will get removed if the file is opened in a newer version of Excel. Learn more: https://go.microsoft.com/fwlink/?linkid=870924
Comment:
    Flavio's calculation is off by 2 (total in 09.01.2020 email is 11.471)</t>
      </text>
    </comment>
    <comment ref="L82" authorId="5" shapeId="0" xr:uid="{63017561-D5A0-4FC8-A9F0-814C19CB6009}">
      <text>
        <t>[Threaded comment]
Your version of Excel allows you to read this threaded comment; however, any edits to it will get removed if the file is opened in a newer version of Excel. Learn more: https://go.microsoft.com/fwlink/?linkid=870924
Comment:
    DTM received the figure for the first six months of the year and split it evenly
Reply:
    funny</t>
      </text>
    </comment>
    <comment ref="Q127" authorId="6" shapeId="0" xr:uid="{E47055A9-0C75-4725-95BB-EBABA86AE5D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according to FTDES, MoI did not publish stats for July which the FTDES believes are so much higher than they captured</t>
      </text>
    </comment>
    <comment ref="Q129" authorId="7" shapeId="0" xr:uid="{D5C295AB-6F44-41AD-8BB8-F2F33AE108B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According to FTDES, MoI declared that interceptions between Jan-Sep are "72,516" and not 41K, these were the cases captured by FTDES.</t>
      </text>
    </comment>
    <comment ref="Q132" authorId="8" shapeId="0" xr:uid="{10595C36-D789-4973-B34F-A37C79FCBAF5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not updated by FTDES on 18 January 2024, will revisit</t>
      </text>
    </comment>
    <comment ref="Q133" authorId="9" shapeId="0" xr:uid="{1DFAE8B1-A23E-4C6E-BA79-03B842AF28F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according to FTDES that interceptions are 79,905 according to Minister of Interopr statement (but the figures recorded are the official reports on interceptions)</t>
      </text>
    </comment>
    <comment ref="Q146" authorId="10" shapeId="0" xr:uid="{0A50BB0E-8BBE-45A2-B0BF-B93AF1412C33}">
      <text>
        <t>[Threaded comment]
Your version of Excel allows you to read this threaded comment; however, any edits to it will get removed if the file is opened in a newer version of Excel. Learn more: https://go.microsoft.com/fwlink/?linkid=870924
Comment:
    UNHCR has 37,015 recorded as of 17.06.2025 but I don’t have a monthly breakdown</t>
      </text>
    </comment>
    <comment ref="Q159" authorId="11" shapeId="0" xr:uid="{E4062E61-C1FF-4CE0-B81B-CE6C2DF0BD54}">
      <text>
        <t>[Threaded comment]
Your version of Excel allows you to read this threaded comment; however, any edits to it will get removed if the file is opened in a newer version of Excel. Learn more: https://go.microsoft.com/fwlink/?linkid=870924
Comment:
    UNHCR has 37,015 recorded as of 17.06.2025 but I don’t have a monthly breakdown</t>
      </text>
    </comment>
    <comment ref="R161" authorId="12" shapeId="0" xr:uid="{DF1CD30F-30ED-485B-B2E9-203E81B2D610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 file: https://iomint.sharepoint.com/:x:/s/MissingMigrantsProject424/EVDmh6jS2bpDjRk34-nMmVYByfIay8bfP4KLVrcUAjhM2A?e=jQctPj</t>
      </text>
    </comment>
  </commentList>
</comments>
</file>

<file path=xl/sharedStrings.xml><?xml version="1.0" encoding="utf-8"?>
<sst xmlns="http://schemas.openxmlformats.org/spreadsheetml/2006/main" count="271" uniqueCount="97">
  <si>
    <t>Year</t>
  </si>
  <si>
    <t>Month</t>
  </si>
  <si>
    <t>WAAR</t>
  </si>
  <si>
    <t>WMR (sea arrivals)</t>
  </si>
  <si>
    <t>WMR (land arrivals)</t>
  </si>
  <si>
    <t>Total sea arrivals (WAAR+WMR)</t>
  </si>
  <si>
    <t>Sea arrivals in Italy</t>
  </si>
  <si>
    <t>Sea arrivals in Malta</t>
  </si>
  <si>
    <t>Land arrivals in Greece</t>
  </si>
  <si>
    <t>Sea arrivals in Greece</t>
  </si>
  <si>
    <t>Sea arrivals in Cyprus</t>
  </si>
  <si>
    <t>Land arrivals in Cyprus</t>
  </si>
  <si>
    <t>Total sea arrivals in Europe</t>
  </si>
  <si>
    <t>Total arrivals in Europe</t>
  </si>
  <si>
    <t>Interceptions by Turkish Coast Guard</t>
  </si>
  <si>
    <t>Interceptions by Libyan Coast Guard</t>
  </si>
  <si>
    <t>Interceptions by Tunisian Coast Guard</t>
  </si>
  <si>
    <t>Interceptions by Algerian Coast Guard</t>
  </si>
  <si>
    <t>Total interceptions</t>
  </si>
  <si>
    <t>EMR</t>
  </si>
  <si>
    <t>CMR</t>
  </si>
  <si>
    <t>WMR</t>
  </si>
  <si>
    <t>Total  deaths on maritime routes to Europe</t>
  </si>
  <si>
    <t>Total attempted crossings</t>
  </si>
  <si>
    <t>Mortality rate maritime routes to Europe</t>
  </si>
  <si>
    <t>Mortality rate: 1 in…</t>
  </si>
  <si>
    <t>EMR rate of death</t>
  </si>
  <si>
    <t>CMR rate of death</t>
  </si>
  <si>
    <t>WMR proportion of deaths vs. arrivals</t>
  </si>
  <si>
    <t>WAAR proportion of deaths vs. arrivals</t>
  </si>
  <si>
    <t>Arrivals in Europe</t>
  </si>
  <si>
    <t xml:space="preserve">Interceptions </t>
  </si>
  <si>
    <t>Deaths/disappearances</t>
  </si>
  <si>
    <t>Spain</t>
  </si>
  <si>
    <t>Central Mediterranean</t>
  </si>
  <si>
    <t>Eastern Mediterranean</t>
  </si>
  <si>
    <t>CMR &amp; WMR</t>
  </si>
  <si>
    <t>January</t>
  </si>
  <si>
    <t>February</t>
  </si>
  <si>
    <t>March</t>
  </si>
  <si>
    <t xml:space="preserve">April </t>
  </si>
  <si>
    <t>May</t>
  </si>
  <si>
    <t>June</t>
  </si>
  <si>
    <t>July</t>
  </si>
  <si>
    <t>August</t>
  </si>
  <si>
    <t xml:space="preserve">September </t>
  </si>
  <si>
    <t>October</t>
  </si>
  <si>
    <t xml:space="preserve">November </t>
  </si>
  <si>
    <t>December</t>
  </si>
  <si>
    <t>TOTAL 2014</t>
  </si>
  <si>
    <t>Note: No data on Spain, Cyprus, Malta Turkey, Libya, Tunisia</t>
  </si>
  <si>
    <t>First 6 months 2015</t>
  </si>
  <si>
    <t>E Med</t>
  </si>
  <si>
    <t>C Med</t>
  </si>
  <si>
    <t>W Med</t>
  </si>
  <si>
    <t>All Med</t>
  </si>
  <si>
    <t>TOTAL 2015</t>
  </si>
  <si>
    <t>Note: No data on Spain, Cyprus, Malta, Libya, Tunisia</t>
  </si>
  <si>
    <t xml:space="preserve">March  </t>
  </si>
  <si>
    <t>April</t>
  </si>
  <si>
    <t>First 6 months 2016</t>
  </si>
  <si>
    <t>TOTAL 2016</t>
  </si>
  <si>
    <t>Note: No data on Spain by land, Cyprus, Malta, Libya, Tunisia</t>
  </si>
  <si>
    <t>First 6 months 2017</t>
  </si>
  <si>
    <t>TOTAL 2017</t>
  </si>
  <si>
    <t>Note: Spain data for December 2017 includes 306 "other sea arrivals" - i.e. arrivals to Spanish coasts not on "pateras". No data on arrivals in Malta, interception by Tunisian authorities before Oct.</t>
  </si>
  <si>
    <t>First 6 months 2018</t>
  </si>
  <si>
    <t>TOTAL 2018</t>
  </si>
  <si>
    <t>First 6 months 2019</t>
  </si>
  <si>
    <t>TOTAL 2019</t>
  </si>
  <si>
    <t>First 6 months 2020</t>
  </si>
  <si>
    <t>TOTAL 2020</t>
  </si>
  <si>
    <t>First 6 months 2021</t>
  </si>
  <si>
    <t>TOTAL 2021</t>
  </si>
  <si>
    <t>TOTAL 2022</t>
  </si>
  <si>
    <t>TOTAL 2023</t>
  </si>
  <si>
    <t>TOTAL 2024</t>
  </si>
  <si>
    <t>TOTAL 2025</t>
  </si>
  <si>
    <t>As of:</t>
  </si>
  <si>
    <t>31/10/2025</t>
  </si>
  <si>
    <t> </t>
  </si>
  <si>
    <t>27/10/25</t>
  </si>
  <si>
    <t>17/6/2025</t>
  </si>
  <si>
    <t>17/3/2025</t>
  </si>
  <si>
    <t>Source:</t>
  </si>
  <si>
    <t xml:space="preserve">Spanish Ministry of the Interior, Arrivals to Spain e-mail by AGUADO ANA </t>
  </si>
  <si>
    <t>Spanish Ministry of the Interior (https://bit.ly/2juT7a4)</t>
  </si>
  <si>
    <t>Italian authorities via IOM DTM</t>
  </si>
  <si>
    <t>IOM estimate</t>
  </si>
  <si>
    <t>IOM Greece</t>
  </si>
  <si>
    <t>Hellenic Coast Guard</t>
  </si>
  <si>
    <t>2019: Cyprus Police 
2014-2021: IOM Cyprus estimate (2021 source: NGO CODECA via DTM Europe) https://www.codecacy.org/ | 2022-2023: DTM dashboard: https://dtm.iom.int/content/europe-migration-arrivals-dashboard</t>
  </si>
  <si>
    <t>Turkish CG via LATEST Link: https://en.sg.gov.tr/irregular-migration-statistics.  - previously: https://sg.gov.tr/duzensiz-goc-istatistikler  and https://sg.gov.tr/ege-denizi-duzensiz-goc-istatistikleri (Aegean) and https://en.sg.gov.tr/irregular-migration-statistics) (Prior to 2019: http://www.turkishcoastguard.eu/baskanliklar/harekat/faaliyet_istatistikleri/duzensiz_goc_istatistikleri_ege.html)</t>
  </si>
  <si>
    <t>Libyan CG via IOM Libya</t>
  </si>
  <si>
    <t>FTDES dashboard (2024: https://ftdes.net/ar/statistiques-les-migrants-interceptes-sur-les-cotes-tunisiennes/)  (2022: https://ftdes.net/statistiques-migration-2022/ and 2023: https://ftdes.net/ar/statistiques-migration-2023/; 2024: monthly reports: https://ftdes.net/ar/publicationsftdes/) and reports; Tunisian MOI via IOM Tunisia excludes interceptions by Tunisian Navy</t>
  </si>
  <si>
    <t>Algerian Ministry of Defense - https://www.mdn.dz/site_principal/sommaire/archives/archives_actualites_ar.php</t>
  </si>
  <si>
    <t>IOM's Missing Migrants Project via mmp.iom.int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</si>
</sst>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\ _€_-;\-* #,##0.00\ _€_-;_-* &quot;-&quot;??\ _€_-;_-@_-"/>
    <numFmt numFmtId="165" formatCode="0.0"/>
  </numFmts>
  <fonts count="36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6100"/>
      <name val="Calibri"/>
      <family val="2"/>
    </font>
    <font>
      <sz val="11"/>
      <color rgb="FF000000"/>
      <name val="Calibri"/>
      <family val="2"/>
    </font>
    <font>
      <sz val="11"/>
      <color rgb="FF9C570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b/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name val="Tahoma"/>
      <family val="2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FF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thin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medium">
        <color theme="0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3">
    <xf numFmtId="0" fontId="0" fillId="0" borderId="0"/>
    <xf numFmtId="0" fontId="1" fillId="2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3" fillId="0" borderId="0"/>
    <xf numFmtId="0" fontId="24" fillId="0" borderId="0"/>
    <xf numFmtId="9" fontId="24" fillId="0" borderId="0" applyFont="0" applyFill="0" applyBorder="0" applyAlignment="0" applyProtection="0"/>
    <xf numFmtId="0" fontId="23" fillId="0" borderId="0"/>
    <xf numFmtId="164" fontId="7" fillId="0" borderId="0" applyFont="0" applyFill="0" applyBorder="0" applyAlignment="0" applyProtection="0"/>
    <xf numFmtId="0" fontId="23" fillId="0" borderId="0"/>
  </cellStyleXfs>
  <cellXfs count="371">
    <xf numFmtId="0" fontId="0" fillId="0" borderId="0" xfId="0"/>
    <xf numFmtId="3" fontId="0" fillId="0" borderId="0" xfId="0" applyNumberFormat="1"/>
    <xf numFmtId="3" fontId="5" fillId="0" borderId="1" xfId="1" applyNumberFormat="1" applyFont="1" applyFill="1" applyBorder="1"/>
    <xf numFmtId="0" fontId="6" fillId="0" borderId="0" xfId="0" applyFont="1"/>
    <xf numFmtId="3" fontId="0" fillId="0" borderId="1" xfId="0" applyNumberFormat="1" applyBorder="1"/>
    <xf numFmtId="3" fontId="0" fillId="0" borderId="7" xfId="0" applyNumberFormat="1" applyBorder="1"/>
    <xf numFmtId="0" fontId="0" fillId="0" borderId="8" xfId="0" applyBorder="1"/>
    <xf numFmtId="3" fontId="0" fillId="0" borderId="2" xfId="0" applyNumberFormat="1" applyBorder="1"/>
    <xf numFmtId="3" fontId="6" fillId="0" borderId="1" xfId="0" applyNumberFormat="1" applyFont="1" applyBorder="1"/>
    <xf numFmtId="3" fontId="6" fillId="0" borderId="7" xfId="0" applyNumberFormat="1" applyFont="1" applyBorder="1"/>
    <xf numFmtId="3" fontId="0" fillId="3" borderId="1" xfId="0" applyNumberFormat="1" applyFill="1" applyBorder="1"/>
    <xf numFmtId="0" fontId="0" fillId="3" borderId="0" xfId="0" applyFill="1"/>
    <xf numFmtId="3" fontId="5" fillId="3" borderId="1" xfId="1" applyNumberFormat="1" applyFont="1" applyFill="1" applyBorder="1"/>
    <xf numFmtId="17" fontId="8" fillId="0" borderId="0" xfId="0" applyNumberFormat="1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3" fontId="10" fillId="0" borderId="0" xfId="0" applyNumberFormat="1" applyFont="1" applyAlignment="1">
      <alignment horizontal="right" vertical="center" wrapText="1"/>
    </xf>
    <xf numFmtId="3" fontId="11" fillId="0" borderId="0" xfId="0" applyNumberFormat="1" applyFont="1" applyAlignment="1">
      <alignment horizontal="right" vertical="center"/>
    </xf>
    <xf numFmtId="3" fontId="6" fillId="5" borderId="1" xfId="0" applyNumberFormat="1" applyFont="1" applyFill="1" applyBorder="1"/>
    <xf numFmtId="3" fontId="5" fillId="0" borderId="0" xfId="1" applyNumberFormat="1" applyFont="1" applyFill="1" applyBorder="1"/>
    <xf numFmtId="0" fontId="2" fillId="0" borderId="0" xfId="0" applyFont="1"/>
    <xf numFmtId="0" fontId="2" fillId="0" borderId="0" xfId="0" applyFont="1" applyAlignment="1">
      <alignment wrapText="1"/>
    </xf>
    <xf numFmtId="3" fontId="6" fillId="0" borderId="0" xfId="0" applyNumberFormat="1" applyFont="1"/>
    <xf numFmtId="3" fontId="0" fillId="0" borderId="4" xfId="0" applyNumberFormat="1" applyBorder="1"/>
    <xf numFmtId="3" fontId="5" fillId="0" borderId="1" xfId="1" applyNumberFormat="1" applyFont="1" applyFill="1" applyBorder="1" applyAlignment="1">
      <alignment horizontal="right"/>
    </xf>
    <xf numFmtId="3" fontId="5" fillId="0" borderId="6" xfId="1" applyNumberFormat="1" applyFont="1" applyFill="1" applyBorder="1"/>
    <xf numFmtId="3" fontId="5" fillId="3" borderId="6" xfId="1" applyNumberFormat="1" applyFont="1" applyFill="1" applyBorder="1"/>
    <xf numFmtId="3" fontId="6" fillId="5" borderId="6" xfId="0" applyNumberFormat="1" applyFont="1" applyFill="1" applyBorder="1"/>
    <xf numFmtId="10" fontId="0" fillId="0" borderId="0" xfId="0" applyNumberFormat="1"/>
    <xf numFmtId="3" fontId="0" fillId="0" borderId="1" xfId="0" applyNumberFormat="1" applyBorder="1" applyAlignment="1">
      <alignment horizontal="right"/>
    </xf>
    <xf numFmtId="3" fontId="7" fillId="0" borderId="6" xfId="2" applyNumberFormat="1" applyFont="1" applyFill="1" applyBorder="1" applyAlignment="1"/>
    <xf numFmtId="3" fontId="7" fillId="0" borderId="6" xfId="2" applyNumberFormat="1" applyFont="1" applyFill="1" applyBorder="1" applyAlignment="1">
      <alignment horizontal="right"/>
    </xf>
    <xf numFmtId="3" fontId="10" fillId="0" borderId="6" xfId="0" applyNumberFormat="1" applyFont="1" applyBorder="1" applyAlignment="1">
      <alignment vertical="center" wrapText="1"/>
    </xf>
    <xf numFmtId="3" fontId="10" fillId="0" borderId="6" xfId="0" applyNumberFormat="1" applyFont="1" applyBorder="1" applyAlignment="1">
      <alignment horizontal="right" vertical="center" wrapText="1"/>
    </xf>
    <xf numFmtId="3" fontId="0" fillId="0" borderId="6" xfId="0" applyNumberFormat="1" applyBorder="1"/>
    <xf numFmtId="3" fontId="6" fillId="0" borderId="15" xfId="0" applyNumberFormat="1" applyFont="1" applyBorder="1"/>
    <xf numFmtId="3" fontId="6" fillId="5" borderId="15" xfId="0" applyNumberFormat="1" applyFont="1" applyFill="1" applyBorder="1"/>
    <xf numFmtId="3" fontId="6" fillId="0" borderId="6" xfId="0" applyNumberFormat="1" applyFont="1" applyBorder="1"/>
    <xf numFmtId="0" fontId="17" fillId="0" borderId="0" xfId="0" applyFont="1"/>
    <xf numFmtId="3" fontId="6" fillId="5" borderId="7" xfId="0" applyNumberFormat="1" applyFont="1" applyFill="1" applyBorder="1"/>
    <xf numFmtId="0" fontId="0" fillId="0" borderId="9" xfId="0" applyBorder="1"/>
    <xf numFmtId="3" fontId="5" fillId="0" borderId="8" xfId="1" applyNumberFormat="1" applyFont="1" applyFill="1" applyBorder="1"/>
    <xf numFmtId="3" fontId="4" fillId="5" borderId="6" xfId="1" applyNumberFormat="1" applyFont="1" applyFill="1" applyBorder="1"/>
    <xf numFmtId="3" fontId="5" fillId="3" borderId="6" xfId="1" applyNumberFormat="1" applyFont="1" applyFill="1" applyBorder="1" applyAlignment="1">
      <alignment horizontal="right"/>
    </xf>
    <xf numFmtId="3" fontId="0" fillId="0" borderId="15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0" fontId="0" fillId="0" borderId="0" xfId="0" applyAlignment="1">
      <alignment horizontal="right"/>
    </xf>
    <xf numFmtId="3" fontId="6" fillId="0" borderId="15" xfId="0" applyNumberFormat="1" applyFont="1" applyBorder="1" applyAlignment="1">
      <alignment horizontal="right"/>
    </xf>
    <xf numFmtId="3" fontId="5" fillId="0" borderId="6" xfId="1" applyNumberFormat="1" applyFont="1" applyFill="1" applyBorder="1" applyAlignment="1"/>
    <xf numFmtId="3" fontId="5" fillId="0" borderId="6" xfId="1" applyNumberFormat="1" applyFont="1" applyFill="1" applyBorder="1" applyAlignment="1">
      <alignment horizontal="right"/>
    </xf>
    <xf numFmtId="3" fontId="5" fillId="3" borderId="15" xfId="1" applyNumberFormat="1" applyFont="1" applyFill="1" applyBorder="1"/>
    <xf numFmtId="3" fontId="7" fillId="0" borderId="15" xfId="2" applyNumberFormat="1" applyFont="1" applyFill="1" applyBorder="1" applyAlignment="1">
      <alignment vertical="center"/>
    </xf>
    <xf numFmtId="3" fontId="6" fillId="5" borderId="18" xfId="0" applyNumberFormat="1" applyFont="1" applyFill="1" applyBorder="1"/>
    <xf numFmtId="3" fontId="0" fillId="0" borderId="15" xfId="0" applyNumberFormat="1" applyBorder="1"/>
    <xf numFmtId="3" fontId="6" fillId="5" borderId="6" xfId="0" applyNumberFormat="1" applyFont="1" applyFill="1" applyBorder="1" applyAlignment="1">
      <alignment horizontal="right"/>
    </xf>
    <xf numFmtId="3" fontId="5" fillId="0" borderId="15" xfId="1" applyNumberFormat="1" applyFont="1" applyFill="1" applyBorder="1"/>
    <xf numFmtId="3" fontId="4" fillId="0" borderId="1" xfId="1" applyNumberFormat="1" applyFont="1" applyFill="1" applyBorder="1"/>
    <xf numFmtId="3" fontId="4" fillId="5" borderId="15" xfId="1" applyNumberFormat="1" applyFont="1" applyFill="1" applyBorder="1"/>
    <xf numFmtId="3" fontId="4" fillId="5" borderId="1" xfId="1" applyNumberFormat="1" applyFont="1" applyFill="1" applyBorder="1"/>
    <xf numFmtId="3" fontId="0" fillId="0" borderId="13" xfId="0" applyNumberFormat="1" applyBorder="1"/>
    <xf numFmtId="3" fontId="4" fillId="5" borderId="15" xfId="1" applyNumberFormat="1" applyFont="1" applyFill="1" applyBorder="1" applyAlignment="1">
      <alignment horizontal="right"/>
    </xf>
    <xf numFmtId="3" fontId="4" fillId="4" borderId="1" xfId="1" applyNumberFormat="1" applyFont="1" applyFill="1" applyBorder="1"/>
    <xf numFmtId="3" fontId="0" fillId="0" borderId="18" xfId="0" applyNumberFormat="1" applyBorder="1" applyAlignment="1">
      <alignment horizontal="right"/>
    </xf>
    <xf numFmtId="3" fontId="0" fillId="0" borderId="8" xfId="0" applyNumberFormat="1" applyBorder="1"/>
    <xf numFmtId="3" fontId="7" fillId="4" borderId="6" xfId="2" applyNumberFormat="1" applyFont="1" applyFill="1" applyBorder="1" applyAlignment="1"/>
    <xf numFmtId="1" fontId="12" fillId="0" borderId="0" xfId="0" applyNumberFormat="1" applyFont="1" applyAlignment="1">
      <alignment vertical="top" wrapText="1"/>
    </xf>
    <xf numFmtId="3" fontId="5" fillId="3" borderId="7" xfId="1" applyNumberFormat="1" applyFont="1" applyFill="1" applyBorder="1"/>
    <xf numFmtId="165" fontId="0" fillId="0" borderId="0" xfId="0" applyNumberFormat="1"/>
    <xf numFmtId="0" fontId="19" fillId="0" borderId="0" xfId="0" applyFont="1"/>
    <xf numFmtId="3" fontId="6" fillId="5" borderId="8" xfId="0" applyNumberFormat="1" applyFont="1" applyFill="1" applyBorder="1"/>
    <xf numFmtId="3" fontId="6" fillId="5" borderId="20" xfId="0" applyNumberFormat="1" applyFont="1" applyFill="1" applyBorder="1"/>
    <xf numFmtId="10" fontId="6" fillId="0" borderId="0" xfId="3" applyNumberFormat="1" applyFont="1"/>
    <xf numFmtId="10" fontId="6" fillId="0" borderId="0" xfId="0" applyNumberFormat="1" applyFont="1"/>
    <xf numFmtId="3" fontId="6" fillId="0" borderId="16" xfId="0" applyNumberFormat="1" applyFont="1" applyBorder="1"/>
    <xf numFmtId="3" fontId="5" fillId="0" borderId="1" xfId="0" applyNumberFormat="1" applyFont="1" applyBorder="1"/>
    <xf numFmtId="9" fontId="6" fillId="0" borderId="0" xfId="3" applyFont="1"/>
    <xf numFmtId="10" fontId="0" fillId="0" borderId="0" xfId="3" applyNumberFormat="1" applyFont="1" applyFill="1" applyBorder="1"/>
    <xf numFmtId="2" fontId="6" fillId="0" borderId="0" xfId="0" applyNumberFormat="1" applyFont="1"/>
    <xf numFmtId="3" fontId="0" fillId="0" borderId="12" xfId="0" applyNumberFormat="1" applyBorder="1"/>
    <xf numFmtId="3" fontId="4" fillId="5" borderId="12" xfId="1" applyNumberFormat="1" applyFont="1" applyFill="1" applyBorder="1"/>
    <xf numFmtId="3" fontId="0" fillId="0" borderId="12" xfId="0" applyNumberFormat="1" applyBorder="1" applyAlignment="1">
      <alignment horizontal="right"/>
    </xf>
    <xf numFmtId="3" fontId="6" fillId="5" borderId="10" xfId="0" applyNumberFormat="1" applyFont="1" applyFill="1" applyBorder="1"/>
    <xf numFmtId="3" fontId="6" fillId="5" borderId="9" xfId="0" applyNumberFormat="1" applyFont="1" applyFill="1" applyBorder="1"/>
    <xf numFmtId="3" fontId="6" fillId="5" borderId="16" xfId="0" applyNumberFormat="1" applyFont="1" applyFill="1" applyBorder="1"/>
    <xf numFmtId="0" fontId="0" fillId="0" borderId="10" xfId="0" applyBorder="1"/>
    <xf numFmtId="0" fontId="0" fillId="0" borderId="17" xfId="0" applyBorder="1"/>
    <xf numFmtId="0" fontId="0" fillId="0" borderId="14" xfId="0" applyBorder="1"/>
    <xf numFmtId="10" fontId="0" fillId="0" borderId="5" xfId="0" applyNumberFormat="1" applyBorder="1"/>
    <xf numFmtId="10" fontId="0" fillId="0" borderId="11" xfId="0" applyNumberFormat="1" applyBorder="1"/>
    <xf numFmtId="10" fontId="0" fillId="0" borderId="3" xfId="0" applyNumberFormat="1" applyBorder="1"/>
    <xf numFmtId="3" fontId="7" fillId="0" borderId="1" xfId="2" applyNumberFormat="1" applyFont="1" applyFill="1" applyBorder="1" applyAlignment="1"/>
    <xf numFmtId="3" fontId="7" fillId="0" borderId="1" xfId="2" applyNumberFormat="1" applyFont="1" applyFill="1" applyBorder="1" applyAlignment="1">
      <alignment horizontal="right"/>
    </xf>
    <xf numFmtId="3" fontId="5" fillId="3" borderId="1" xfId="1" applyNumberFormat="1" applyFont="1" applyFill="1" applyBorder="1" applyAlignment="1">
      <alignment horizontal="right"/>
    </xf>
    <xf numFmtId="3" fontId="0" fillId="0" borderId="20" xfId="0" applyNumberFormat="1" applyBorder="1"/>
    <xf numFmtId="3" fontId="5" fillId="0" borderId="7" xfId="1" applyNumberFormat="1" applyFont="1" applyFill="1" applyBorder="1"/>
    <xf numFmtId="3" fontId="5" fillId="3" borderId="12" xfId="1" applyNumberFormat="1" applyFont="1" applyFill="1" applyBorder="1"/>
    <xf numFmtId="3" fontId="7" fillId="0" borderId="7" xfId="2" applyNumberFormat="1" applyFont="1" applyFill="1" applyBorder="1" applyAlignment="1"/>
    <xf numFmtId="3" fontId="4" fillId="5" borderId="12" xfId="1" applyNumberFormat="1" applyFont="1" applyFill="1" applyBorder="1" applyAlignment="1">
      <alignment horizontal="right"/>
    </xf>
    <xf numFmtId="3" fontId="0" fillId="0" borderId="10" xfId="0" applyNumberFormat="1" applyBorder="1" applyAlignment="1">
      <alignment horizontal="right"/>
    </xf>
    <xf numFmtId="3" fontId="6" fillId="0" borderId="12" xfId="0" applyNumberFormat="1" applyFont="1" applyBorder="1" applyAlignment="1">
      <alignment horizontal="right"/>
    </xf>
    <xf numFmtId="3" fontId="0" fillId="0" borderId="22" xfId="0" applyNumberFormat="1" applyBorder="1" applyAlignment="1">
      <alignment horizontal="right" vertical="center"/>
    </xf>
    <xf numFmtId="3" fontId="0" fillId="0" borderId="22" xfId="0" applyNumberFormat="1" applyBorder="1"/>
    <xf numFmtId="3" fontId="0" fillId="0" borderId="22" xfId="0" applyNumberFormat="1" applyBorder="1" applyAlignment="1">
      <alignment horizontal="right"/>
    </xf>
    <xf numFmtId="3" fontId="0" fillId="0" borderId="5" xfId="0" applyNumberFormat="1" applyBorder="1"/>
    <xf numFmtId="3" fontId="0" fillId="0" borderId="7" xfId="0" applyNumberFormat="1" applyBorder="1" applyAlignment="1">
      <alignment horizontal="right"/>
    </xf>
    <xf numFmtId="3" fontId="0" fillId="0" borderId="23" xfId="0" applyNumberFormat="1" applyBorder="1" applyAlignment="1">
      <alignment horizontal="right" vertical="center"/>
    </xf>
    <xf numFmtId="3" fontId="6" fillId="5" borderId="3" xfId="0" applyNumberFormat="1" applyFont="1" applyFill="1" applyBorder="1"/>
    <xf numFmtId="3" fontId="0" fillId="3" borderId="22" xfId="0" applyNumberFormat="1" applyFill="1" applyBorder="1"/>
    <xf numFmtId="3" fontId="0" fillId="3" borderId="22" xfId="0" applyNumberFormat="1" applyFill="1" applyBorder="1" applyAlignment="1">
      <alignment horizontal="right"/>
    </xf>
    <xf numFmtId="3" fontId="5" fillId="0" borderId="22" xfId="1" applyNumberFormat="1" applyFont="1" applyFill="1" applyBorder="1"/>
    <xf numFmtId="3" fontId="0" fillId="3" borderId="7" xfId="0" applyNumberFormat="1" applyFill="1" applyBorder="1"/>
    <xf numFmtId="3" fontId="0" fillId="3" borderId="7" xfId="0" applyNumberFormat="1" applyFill="1" applyBorder="1" applyAlignment="1">
      <alignment horizontal="right"/>
    </xf>
    <xf numFmtId="3" fontId="6" fillId="5" borderId="0" xfId="0" applyNumberFormat="1" applyFont="1" applyFill="1"/>
    <xf numFmtId="3" fontId="26" fillId="5" borderId="1" xfId="0" applyNumberFormat="1" applyFont="1" applyFill="1" applyBorder="1"/>
    <xf numFmtId="0" fontId="26" fillId="0" borderId="0" xfId="0" applyFont="1"/>
    <xf numFmtId="3" fontId="17" fillId="0" borderId="12" xfId="0" applyNumberFormat="1" applyFont="1" applyBorder="1"/>
    <xf numFmtId="3" fontId="29" fillId="5" borderId="12" xfId="1" applyNumberFormat="1" applyFont="1" applyFill="1" applyBorder="1"/>
    <xf numFmtId="3" fontId="17" fillId="0" borderId="10" xfId="0" applyNumberFormat="1" applyFont="1" applyBorder="1" applyAlignment="1">
      <alignment horizontal="right"/>
    </xf>
    <xf numFmtId="3" fontId="17" fillId="0" borderId="12" xfId="0" applyNumberFormat="1" applyFont="1" applyBorder="1" applyAlignment="1">
      <alignment horizontal="right"/>
    </xf>
    <xf numFmtId="3" fontId="17" fillId="0" borderId="20" xfId="0" applyNumberFormat="1" applyFont="1" applyBorder="1" applyAlignment="1">
      <alignment horizontal="right"/>
    </xf>
    <xf numFmtId="3" fontId="29" fillId="5" borderId="20" xfId="1" applyNumberFormat="1" applyFont="1" applyFill="1" applyBorder="1"/>
    <xf numFmtId="3" fontId="17" fillId="0" borderId="20" xfId="0" applyNumberFormat="1" applyFont="1" applyBorder="1"/>
    <xf numFmtId="3" fontId="30" fillId="3" borderId="20" xfId="1" applyNumberFormat="1" applyFont="1" applyFill="1" applyBorder="1"/>
    <xf numFmtId="3" fontId="30" fillId="0" borderId="12" xfId="1" applyNumberFormat="1" applyFont="1" applyFill="1" applyBorder="1"/>
    <xf numFmtId="3" fontId="26" fillId="5" borderId="10" xfId="0" applyNumberFormat="1" applyFont="1" applyFill="1" applyBorder="1"/>
    <xf numFmtId="3" fontId="17" fillId="0" borderId="6" xfId="0" applyNumberFormat="1" applyFont="1" applyBorder="1" applyAlignment="1">
      <alignment horizontal="right"/>
    </xf>
    <xf numFmtId="3" fontId="17" fillId="0" borderId="6" xfId="0" applyNumberFormat="1" applyFont="1" applyBorder="1"/>
    <xf numFmtId="3" fontId="30" fillId="0" borderId="6" xfId="1" applyNumberFormat="1" applyFont="1" applyFill="1" applyBorder="1"/>
    <xf numFmtId="3" fontId="6" fillId="7" borderId="8" xfId="0" applyNumberFormat="1" applyFont="1" applyFill="1" applyBorder="1"/>
    <xf numFmtId="3" fontId="25" fillId="0" borderId="6" xfId="2" applyNumberFormat="1" applyFont="1" applyFill="1" applyBorder="1" applyAlignment="1">
      <alignment horizontal="right"/>
    </xf>
    <xf numFmtId="3" fontId="25" fillId="0" borderId="15" xfId="0" applyNumberFormat="1" applyFont="1" applyBorder="1"/>
    <xf numFmtId="3" fontId="12" fillId="0" borderId="0" xfId="0" applyNumberFormat="1" applyFont="1" applyAlignment="1">
      <alignment vertical="top" wrapText="1"/>
    </xf>
    <xf numFmtId="3" fontId="17" fillId="0" borderId="1" xfId="2" applyNumberFormat="1" applyFont="1" applyFill="1" applyBorder="1" applyAlignment="1"/>
    <xf numFmtId="3" fontId="0" fillId="0" borderId="17" xfId="0" applyNumberFormat="1" applyBorder="1"/>
    <xf numFmtId="3" fontId="5" fillId="0" borderId="6" xfId="2" applyNumberFormat="1" applyFont="1" applyFill="1" applyBorder="1" applyAlignment="1"/>
    <xf numFmtId="3" fontId="5" fillId="0" borderId="6" xfId="2" applyNumberFormat="1" applyFont="1" applyFill="1" applyBorder="1" applyAlignment="1">
      <alignment horizontal="right"/>
    </xf>
    <xf numFmtId="3" fontId="5" fillId="0" borderId="7" xfId="2" applyNumberFormat="1" applyFont="1" applyFill="1" applyBorder="1" applyAlignment="1"/>
    <xf numFmtId="3" fontId="5" fillId="0" borderId="7" xfId="2" applyNumberFormat="1" applyFont="1" applyFill="1" applyBorder="1" applyAlignment="1">
      <alignment horizontal="right"/>
    </xf>
    <xf numFmtId="3" fontId="17" fillId="4" borderId="1" xfId="2" applyNumberFormat="1" applyFont="1" applyFill="1" applyBorder="1" applyAlignment="1"/>
    <xf numFmtId="3" fontId="7" fillId="0" borderId="1" xfId="2" applyNumberFormat="1" applyFont="1" applyFill="1" applyBorder="1" applyAlignment="1">
      <alignment horizontal="right" vertical="center"/>
    </xf>
    <xf numFmtId="3" fontId="5" fillId="0" borderId="3" xfId="1" applyNumberFormat="1" applyFont="1" applyFill="1" applyBorder="1"/>
    <xf numFmtId="3" fontId="0" fillId="0" borderId="19" xfId="0" applyNumberFormat="1" applyBorder="1"/>
    <xf numFmtId="3" fontId="17" fillId="0" borderId="21" xfId="0" applyNumberFormat="1" applyFont="1" applyBorder="1"/>
    <xf numFmtId="3" fontId="5" fillId="3" borderId="3" xfId="1" applyNumberFormat="1" applyFont="1" applyFill="1" applyBorder="1"/>
    <xf numFmtId="3" fontId="0" fillId="0" borderId="11" xfId="0" applyNumberFormat="1" applyBorder="1"/>
    <xf numFmtId="3" fontId="0" fillId="0" borderId="3" xfId="0" applyNumberFormat="1" applyBorder="1"/>
    <xf numFmtId="3" fontId="10" fillId="0" borderId="3" xfId="0" applyNumberFormat="1" applyFont="1" applyBorder="1" applyAlignment="1">
      <alignment horizontal="right" vertical="center" wrapText="1"/>
    </xf>
    <xf numFmtId="3" fontId="14" fillId="0" borderId="4" xfId="0" applyNumberFormat="1" applyFont="1" applyBorder="1" applyAlignment="1">
      <alignment horizontal="right" vertical="center" wrapText="1"/>
    </xf>
    <xf numFmtId="3" fontId="6" fillId="0" borderId="15" xfId="2" applyNumberFormat="1" applyFont="1" applyFill="1" applyBorder="1" applyAlignment="1">
      <alignment vertical="center"/>
    </xf>
    <xf numFmtId="3" fontId="5" fillId="0" borderId="12" xfId="0" applyNumberFormat="1" applyFont="1" applyBorder="1"/>
    <xf numFmtId="3" fontId="6" fillId="0" borderId="20" xfId="0" applyNumberFormat="1" applyFont="1" applyBorder="1"/>
    <xf numFmtId="3" fontId="7" fillId="0" borderId="22" xfId="2" applyNumberFormat="1" applyFont="1" applyFill="1" applyBorder="1" applyAlignment="1"/>
    <xf numFmtId="3" fontId="7" fillId="0" borderId="23" xfId="2" applyNumberFormat="1" applyFont="1" applyFill="1" applyBorder="1" applyAlignment="1"/>
    <xf numFmtId="3" fontId="5" fillId="0" borderId="15" xfId="0" applyNumberFormat="1" applyFont="1" applyBorder="1"/>
    <xf numFmtId="3" fontId="5" fillId="0" borderId="15" xfId="0" applyNumberFormat="1" applyFont="1" applyBorder="1" applyAlignment="1">
      <alignment horizontal="right"/>
    </xf>
    <xf numFmtId="3" fontId="5" fillId="0" borderId="4" xfId="1" applyNumberFormat="1" applyFont="1" applyFill="1" applyBorder="1" applyAlignment="1">
      <alignment horizontal="right"/>
    </xf>
    <xf numFmtId="3" fontId="5" fillId="0" borderId="3" xfId="1" applyNumberFormat="1" applyFont="1" applyFill="1" applyBorder="1" applyAlignment="1">
      <alignment horizontal="right"/>
    </xf>
    <xf numFmtId="3" fontId="25" fillId="0" borderId="1" xfId="0" applyNumberFormat="1" applyFont="1" applyBorder="1"/>
    <xf numFmtId="3" fontId="0" fillId="8" borderId="1" xfId="0" applyNumberFormat="1" applyFill="1" applyBorder="1"/>
    <xf numFmtId="3" fontId="26" fillId="0" borderId="31" xfId="0" applyNumberFormat="1" applyFont="1" applyBorder="1"/>
    <xf numFmtId="3" fontId="26" fillId="5" borderId="31" xfId="0" applyNumberFormat="1" applyFont="1" applyFill="1" applyBorder="1"/>
    <xf numFmtId="3" fontId="17" fillId="0" borderId="31" xfId="0" applyNumberFormat="1" applyFont="1" applyBorder="1"/>
    <xf numFmtId="3" fontId="26" fillId="0" borderId="31" xfId="0" applyNumberFormat="1" applyFont="1" applyBorder="1" applyAlignment="1">
      <alignment horizontal="right"/>
    </xf>
    <xf numFmtId="3" fontId="26" fillId="0" borderId="33" xfId="0" applyNumberFormat="1" applyFont="1" applyBorder="1"/>
    <xf numFmtId="3" fontId="26" fillId="5" borderId="24" xfId="0" applyNumberFormat="1" applyFont="1" applyFill="1" applyBorder="1"/>
    <xf numFmtId="3" fontId="5" fillId="0" borderId="4" xfId="1" applyNumberFormat="1" applyFont="1" applyFill="1" applyBorder="1"/>
    <xf numFmtId="3" fontId="6" fillId="0" borderId="5" xfId="0" applyNumberFormat="1" applyFont="1" applyBorder="1"/>
    <xf numFmtId="3" fontId="26" fillId="0" borderId="41" xfId="0" applyNumberFormat="1" applyFont="1" applyBorder="1"/>
    <xf numFmtId="0" fontId="16" fillId="3" borderId="0" xfId="0" applyFont="1" applyFill="1" applyAlignment="1">
      <alignment horizontal="center" vertical="center" wrapText="1"/>
    </xf>
    <xf numFmtId="10" fontId="0" fillId="3" borderId="0" xfId="3" applyNumberFormat="1" applyFont="1" applyFill="1"/>
    <xf numFmtId="10" fontId="6" fillId="3" borderId="0" xfId="3" applyNumberFormat="1" applyFont="1" applyFill="1"/>
    <xf numFmtId="10" fontId="7" fillId="3" borderId="0" xfId="3" applyNumberFormat="1" applyFont="1" applyFill="1"/>
    <xf numFmtId="3" fontId="4" fillId="5" borderId="16" xfId="1" applyNumberFormat="1" applyFont="1" applyFill="1" applyBorder="1"/>
    <xf numFmtId="3" fontId="4" fillId="4" borderId="2" xfId="1" applyNumberFormat="1" applyFont="1" applyFill="1" applyBorder="1"/>
    <xf numFmtId="3" fontId="21" fillId="0" borderId="2" xfId="0" applyNumberFormat="1" applyFont="1" applyBorder="1" applyAlignment="1">
      <alignment horizontal="right" vertical="center" wrapText="1"/>
    </xf>
    <xf numFmtId="3" fontId="21" fillId="0" borderId="13" xfId="0" applyNumberFormat="1" applyFont="1" applyBorder="1" applyAlignment="1">
      <alignment horizontal="right" vertical="center" wrapText="1"/>
    </xf>
    <xf numFmtId="3" fontId="21" fillId="0" borderId="4" xfId="0" applyNumberFormat="1" applyFont="1" applyBorder="1" applyAlignment="1">
      <alignment horizontal="right" vertical="center" wrapText="1"/>
    </xf>
    <xf numFmtId="3" fontId="14" fillId="0" borderId="1" xfId="0" applyNumberFormat="1" applyFont="1" applyBorder="1" applyAlignment="1">
      <alignment horizontal="right" vertical="center" wrapText="1"/>
    </xf>
    <xf numFmtId="3" fontId="2" fillId="6" borderId="36" xfId="0" applyNumberFormat="1" applyFont="1" applyFill="1" applyBorder="1" applyAlignment="1">
      <alignment horizontal="center" vertical="center" wrapText="1"/>
    </xf>
    <xf numFmtId="3" fontId="2" fillId="6" borderId="38" xfId="0" applyNumberFormat="1" applyFont="1" applyFill="1" applyBorder="1" applyAlignment="1">
      <alignment horizontal="center" vertical="center" wrapText="1"/>
    </xf>
    <xf numFmtId="3" fontId="2" fillId="6" borderId="39" xfId="0" applyNumberFormat="1" applyFont="1" applyFill="1" applyBorder="1" applyAlignment="1">
      <alignment horizontal="center" vertical="center" wrapText="1"/>
    </xf>
    <xf numFmtId="3" fontId="16" fillId="6" borderId="43" xfId="0" applyNumberFormat="1" applyFont="1" applyFill="1" applyBorder="1" applyAlignment="1">
      <alignment horizontal="center"/>
    </xf>
    <xf numFmtId="3" fontId="16" fillId="6" borderId="47" xfId="0" applyNumberFormat="1" applyFont="1" applyFill="1" applyBorder="1" applyAlignment="1">
      <alignment horizontal="center"/>
    </xf>
    <xf numFmtId="3" fontId="3" fillId="6" borderId="48" xfId="0" applyNumberFormat="1" applyFont="1" applyFill="1" applyBorder="1" applyAlignment="1">
      <alignment horizontal="center" wrapText="1"/>
    </xf>
    <xf numFmtId="3" fontId="3" fillId="6" borderId="47" xfId="0" applyNumberFormat="1" applyFont="1" applyFill="1" applyBorder="1" applyAlignment="1">
      <alignment horizontal="center" wrapText="1"/>
    </xf>
    <xf numFmtId="3" fontId="2" fillId="6" borderId="69" xfId="0" applyNumberFormat="1" applyFont="1" applyFill="1" applyBorder="1" applyAlignment="1">
      <alignment horizontal="center" vertical="center" wrapText="1"/>
    </xf>
    <xf numFmtId="3" fontId="2" fillId="6" borderId="57" xfId="0" applyNumberFormat="1" applyFont="1" applyFill="1" applyBorder="1" applyAlignment="1">
      <alignment horizontal="center" vertical="center" wrapText="1"/>
    </xf>
    <xf numFmtId="3" fontId="16" fillId="6" borderId="57" xfId="0" applyNumberFormat="1" applyFont="1" applyFill="1" applyBorder="1" applyAlignment="1">
      <alignment horizontal="center" wrapText="1"/>
    </xf>
    <xf numFmtId="3" fontId="18" fillId="6" borderId="47" xfId="0" applyNumberFormat="1" applyFont="1" applyFill="1" applyBorder="1" applyAlignment="1">
      <alignment horizontal="center"/>
    </xf>
    <xf numFmtId="3" fontId="16" fillId="6" borderId="52" xfId="0" applyNumberFormat="1" applyFont="1" applyFill="1" applyBorder="1" applyAlignment="1">
      <alignment horizontal="center"/>
    </xf>
    <xf numFmtId="3" fontId="5" fillId="0" borderId="5" xfId="1" applyNumberFormat="1" applyFont="1" applyFill="1" applyBorder="1"/>
    <xf numFmtId="3" fontId="5" fillId="0" borderId="21" xfId="1" applyNumberFormat="1" applyFont="1" applyFill="1" applyBorder="1"/>
    <xf numFmtId="3" fontId="17" fillId="0" borderId="11" xfId="0" applyNumberFormat="1" applyFont="1" applyBorder="1"/>
    <xf numFmtId="3" fontId="0" fillId="0" borderId="65" xfId="0" applyNumberFormat="1" applyBorder="1"/>
    <xf numFmtId="3" fontId="0" fillId="0" borderId="66" xfId="0" applyNumberFormat="1" applyBorder="1"/>
    <xf numFmtId="3" fontId="0" fillId="0" borderId="67" xfId="0" applyNumberFormat="1" applyBorder="1"/>
    <xf numFmtId="3" fontId="6" fillId="0" borderId="68" xfId="0" applyNumberFormat="1" applyFont="1" applyBorder="1"/>
    <xf numFmtId="3" fontId="0" fillId="0" borderId="27" xfId="0" applyNumberFormat="1" applyBorder="1"/>
    <xf numFmtId="3" fontId="5" fillId="0" borderId="20" xfId="1" applyNumberFormat="1" applyFont="1" applyFill="1" applyBorder="1"/>
    <xf numFmtId="3" fontId="6" fillId="0" borderId="61" xfId="0" applyNumberFormat="1" applyFont="1" applyBorder="1"/>
    <xf numFmtId="3" fontId="4" fillId="5" borderId="20" xfId="1" applyNumberFormat="1" applyFont="1" applyFill="1" applyBorder="1"/>
    <xf numFmtId="3" fontId="0" fillId="0" borderId="1" xfId="0" applyNumberFormat="1" applyBorder="1" applyAlignment="1">
      <alignment horizontal="center"/>
    </xf>
    <xf numFmtId="3" fontId="4" fillId="5" borderId="1" xfId="1" applyNumberFormat="1" applyFont="1" applyFill="1" applyBorder="1" applyAlignment="1">
      <alignment horizontal="right"/>
    </xf>
    <xf numFmtId="3" fontId="4" fillId="5" borderId="15" xfId="1" applyNumberFormat="1" applyFont="1" applyFill="1" applyBorder="1" applyAlignment="1"/>
    <xf numFmtId="3" fontId="5" fillId="3" borderId="10" xfId="1" applyNumberFormat="1" applyFont="1" applyFill="1" applyBorder="1"/>
    <xf numFmtId="3" fontId="5" fillId="3" borderId="20" xfId="1" applyNumberFormat="1" applyFont="1" applyFill="1" applyBorder="1"/>
    <xf numFmtId="3" fontId="6" fillId="0" borderId="1" xfId="0" applyNumberFormat="1" applyFont="1" applyBorder="1" applyAlignment="1">
      <alignment horizontal="right"/>
    </xf>
    <xf numFmtId="3" fontId="4" fillId="5" borderId="7" xfId="1" applyNumberFormat="1" applyFont="1" applyFill="1" applyBorder="1"/>
    <xf numFmtId="3" fontId="4" fillId="5" borderId="1" xfId="1" applyNumberFormat="1" applyFont="1" applyFill="1" applyBorder="1" applyAlignment="1"/>
    <xf numFmtId="3" fontId="6" fillId="5" borderId="12" xfId="0" applyNumberFormat="1" applyFont="1" applyFill="1" applyBorder="1"/>
    <xf numFmtId="3" fontId="10" fillId="0" borderId="3" xfId="0" applyNumberFormat="1" applyFont="1" applyBorder="1" applyAlignment="1">
      <alignment vertical="top" wrapText="1"/>
    </xf>
    <xf numFmtId="3" fontId="0" fillId="0" borderId="7" xfId="0" applyNumberFormat="1" applyBorder="1" applyAlignment="1">
      <alignment horizontal="left"/>
    </xf>
    <xf numFmtId="3" fontId="6" fillId="7" borderId="0" xfId="0" applyNumberFormat="1" applyFont="1" applyFill="1"/>
    <xf numFmtId="3" fontId="6" fillId="5" borderId="32" xfId="0" applyNumberFormat="1" applyFont="1" applyFill="1" applyBorder="1"/>
    <xf numFmtId="3" fontId="6" fillId="5" borderId="31" xfId="0" applyNumberFormat="1" applyFont="1" applyFill="1" applyBorder="1"/>
    <xf numFmtId="3" fontId="12" fillId="0" borderId="7" xfId="0" applyNumberFormat="1" applyFont="1" applyBorder="1" applyAlignment="1">
      <alignment horizontal="right"/>
    </xf>
    <xf numFmtId="3" fontId="12" fillId="0" borderId="7" xfId="0" applyNumberFormat="1" applyFont="1" applyBorder="1" applyAlignment="1">
      <alignment horizontal="right" vertical="top"/>
    </xf>
    <xf numFmtId="3" fontId="12" fillId="0" borderId="26" xfId="0" applyNumberFormat="1" applyFont="1" applyBorder="1" applyAlignment="1">
      <alignment horizontal="left" vertical="top" wrapText="1"/>
    </xf>
    <xf numFmtId="3" fontId="12" fillId="0" borderId="25" xfId="0" applyNumberFormat="1" applyFont="1" applyBorder="1" applyAlignment="1">
      <alignment horizontal="left" vertical="top" wrapText="1"/>
    </xf>
    <xf numFmtId="3" fontId="12" fillId="0" borderId="1" xfId="0" applyNumberFormat="1" applyFont="1" applyBorder="1" applyAlignment="1">
      <alignment horizontal="left" vertical="top" wrapText="1"/>
    </xf>
    <xf numFmtId="3" fontId="31" fillId="0" borderId="1" xfId="0" applyNumberFormat="1" applyFont="1" applyBorder="1" applyAlignment="1">
      <alignment horizontal="left" vertical="top" wrapText="1"/>
    </xf>
    <xf numFmtId="3" fontId="12" fillId="0" borderId="21" xfId="0" applyNumberFormat="1" applyFont="1" applyBorder="1" applyAlignment="1">
      <alignment vertical="top" wrapText="1"/>
    </xf>
    <xf numFmtId="3" fontId="12" fillId="0" borderId="1" xfId="0" applyNumberFormat="1" applyFont="1" applyBorder="1" applyAlignment="1">
      <alignment vertical="top" wrapText="1"/>
    </xf>
    <xf numFmtId="3" fontId="12" fillId="0" borderId="7" xfId="0" applyNumberFormat="1" applyFont="1" applyBorder="1" applyAlignment="1">
      <alignment vertical="top" wrapText="1"/>
    </xf>
    <xf numFmtId="3" fontId="12" fillId="0" borderId="5" xfId="0" applyNumberFormat="1" applyFont="1" applyBorder="1" applyAlignment="1">
      <alignment vertical="top" wrapText="1"/>
    </xf>
    <xf numFmtId="3" fontId="19" fillId="0" borderId="1" xfId="0" applyNumberFormat="1" applyFont="1" applyBorder="1" applyAlignment="1">
      <alignment vertical="top"/>
    </xf>
    <xf numFmtId="3" fontId="12" fillId="0" borderId="6" xfId="0" applyNumberFormat="1" applyFont="1" applyBorder="1" applyAlignment="1">
      <alignment vertical="top" wrapText="1"/>
    </xf>
    <xf numFmtId="3" fontId="12" fillId="0" borderId="4" xfId="0" applyNumberFormat="1" applyFont="1" applyBorder="1" applyAlignment="1">
      <alignment vertical="top" wrapText="1"/>
    </xf>
    <xf numFmtId="3" fontId="28" fillId="0" borderId="0" xfId="0" applyNumberFormat="1" applyFont="1" applyAlignment="1">
      <alignment vertical="top" wrapText="1"/>
    </xf>
    <xf numFmtId="3" fontId="12" fillId="0" borderId="0" xfId="3" applyNumberFormat="1" applyFont="1" applyBorder="1" applyAlignment="1">
      <alignment vertical="top" wrapText="1"/>
    </xf>
    <xf numFmtId="0" fontId="16" fillId="6" borderId="42" xfId="0" applyFont="1" applyFill="1" applyBorder="1" applyAlignment="1">
      <alignment horizontal="center"/>
    </xf>
    <xf numFmtId="0" fontId="16" fillId="6" borderId="46" xfId="0" applyFont="1" applyFill="1" applyBorder="1" applyAlignment="1">
      <alignment horizontal="center"/>
    </xf>
    <xf numFmtId="0" fontId="4" fillId="5" borderId="7" xfId="0" applyFont="1" applyFill="1" applyBorder="1"/>
    <xf numFmtId="0" fontId="6" fillId="5" borderId="1" xfId="0" applyFont="1" applyFill="1" applyBorder="1"/>
    <xf numFmtId="0" fontId="6" fillId="5" borderId="7" xfId="0" applyFont="1" applyFill="1" applyBorder="1"/>
    <xf numFmtId="0" fontId="0" fillId="3" borderId="2" xfId="0" applyFill="1" applyBorder="1"/>
    <xf numFmtId="0" fontId="0" fillId="3" borderId="13" xfId="0" applyFill="1" applyBorder="1"/>
    <xf numFmtId="0" fontId="0" fillId="3" borderId="13" xfId="0" applyFill="1" applyBorder="1" applyAlignment="1">
      <alignment horizontal="right"/>
    </xf>
    <xf numFmtId="0" fontId="0" fillId="3" borderId="4" xfId="0" applyFill="1" applyBorder="1"/>
    <xf numFmtId="0" fontId="5" fillId="0" borderId="0" xfId="1" applyNumberFormat="1" applyFont="1" applyFill="1" applyBorder="1"/>
    <xf numFmtId="14" fontId="13" fillId="0" borderId="0" xfId="1" applyNumberFormat="1" applyFont="1" applyFill="1" applyBorder="1"/>
    <xf numFmtId="14" fontId="27" fillId="0" borderId="0" xfId="1" applyNumberFormat="1" applyFont="1" applyFill="1" applyBorder="1"/>
    <xf numFmtId="10" fontId="12" fillId="0" borderId="55" xfId="3" applyNumberFormat="1" applyFont="1" applyBorder="1" applyAlignment="1">
      <alignment vertical="top" wrapText="1"/>
    </xf>
    <xf numFmtId="10" fontId="19" fillId="5" borderId="55" xfId="3" applyNumberFormat="1" applyFont="1" applyFill="1" applyBorder="1" applyAlignment="1">
      <alignment vertical="top" wrapText="1"/>
    </xf>
    <xf numFmtId="10" fontId="6" fillId="5" borderId="1" xfId="0" applyNumberFormat="1" applyFont="1" applyFill="1" applyBorder="1"/>
    <xf numFmtId="10" fontId="0" fillId="0" borderId="27" xfId="3" applyNumberFormat="1" applyFont="1" applyBorder="1"/>
    <xf numFmtId="10" fontId="0" fillId="0" borderId="54" xfId="3" applyNumberFormat="1" applyFont="1" applyBorder="1"/>
    <xf numFmtId="10" fontId="0" fillId="0" borderId="0" xfId="3" applyNumberFormat="1" applyFont="1" applyBorder="1"/>
    <xf numFmtId="10" fontId="0" fillId="0" borderId="56" xfId="3" applyNumberFormat="1" applyFont="1" applyBorder="1"/>
    <xf numFmtId="10" fontId="6" fillId="5" borderId="0" xfId="3" applyNumberFormat="1" applyFont="1" applyFill="1" applyBorder="1"/>
    <xf numFmtId="10" fontId="6" fillId="5" borderId="56" xfId="3" applyNumberFormat="1" applyFont="1" applyFill="1" applyBorder="1"/>
    <xf numFmtId="10" fontId="7" fillId="0" borderId="56" xfId="3" applyNumberFormat="1" applyFont="1" applyFill="1" applyBorder="1"/>
    <xf numFmtId="10" fontId="7" fillId="0" borderId="0" xfId="3" applyNumberFormat="1" applyFont="1" applyBorder="1"/>
    <xf numFmtId="10" fontId="7" fillId="0" borderId="0" xfId="3" applyNumberFormat="1" applyFont="1" applyFill="1" applyBorder="1"/>
    <xf numFmtId="10" fontId="6" fillId="7" borderId="0" xfId="3" applyNumberFormat="1" applyFont="1" applyFill="1" applyBorder="1"/>
    <xf numFmtId="10" fontId="6" fillId="5" borderId="1" xfId="3" applyNumberFormat="1" applyFont="1" applyFill="1" applyBorder="1"/>
    <xf numFmtId="10" fontId="6" fillId="0" borderId="0" xfId="3" applyNumberFormat="1" applyFont="1" applyBorder="1"/>
    <xf numFmtId="10" fontId="6" fillId="0" borderId="0" xfId="3" applyNumberFormat="1" applyFont="1" applyFill="1" applyBorder="1"/>
    <xf numFmtId="3" fontId="6" fillId="7" borderId="1" xfId="0" applyNumberFormat="1" applyFont="1" applyFill="1" applyBorder="1"/>
    <xf numFmtId="10" fontId="6" fillId="5" borderId="15" xfId="3" applyNumberFormat="1" applyFont="1" applyFill="1" applyBorder="1"/>
    <xf numFmtId="10" fontId="6" fillId="5" borderId="20" xfId="0" applyNumberFormat="1" applyFont="1" applyFill="1" applyBorder="1"/>
    <xf numFmtId="3" fontId="19" fillId="5" borderId="1" xfId="3" applyNumberFormat="1" applyFont="1" applyFill="1" applyBorder="1" applyAlignment="1">
      <alignment vertical="top" wrapText="1"/>
    </xf>
    <xf numFmtId="10" fontId="6" fillId="5" borderId="16" xfId="3" applyNumberFormat="1" applyFont="1" applyFill="1" applyBorder="1"/>
    <xf numFmtId="3" fontId="25" fillId="3" borderId="1" xfId="0" applyNumberFormat="1" applyFont="1" applyFill="1" applyBorder="1"/>
    <xf numFmtId="3" fontId="0" fillId="0" borderId="29" xfId="0" applyNumberFormat="1" applyBorder="1"/>
    <xf numFmtId="10" fontId="12" fillId="0" borderId="55" xfId="3" applyNumberFormat="1" applyFont="1" applyFill="1" applyBorder="1" applyAlignment="1">
      <alignment vertical="top" wrapText="1"/>
    </xf>
    <xf numFmtId="10" fontId="7" fillId="0" borderId="0" xfId="3" applyNumberFormat="1" applyFont="1" applyFill="1"/>
    <xf numFmtId="3" fontId="7" fillId="0" borderId="6" xfId="12" applyNumberFormat="1" applyFont="1" applyFill="1" applyBorder="1" applyAlignment="1"/>
    <xf numFmtId="3" fontId="5" fillId="0" borderId="6" xfId="12" applyNumberFormat="1" applyFont="1" applyFill="1" applyBorder="1" applyAlignment="1"/>
    <xf numFmtId="3" fontId="5" fillId="0" borderId="6" xfId="12" applyNumberFormat="1" applyFont="1" applyFill="1" applyBorder="1" applyAlignment="1">
      <alignment horizontal="right"/>
    </xf>
    <xf numFmtId="3" fontId="5" fillId="0" borderId="7" xfId="12" applyNumberFormat="1" applyFont="1" applyFill="1" applyBorder="1" applyAlignment="1"/>
    <xf numFmtId="3" fontId="5" fillId="0" borderId="7" xfId="12" applyNumberFormat="1" applyFont="1" applyFill="1" applyBorder="1" applyAlignment="1">
      <alignment horizontal="right"/>
    </xf>
    <xf numFmtId="3" fontId="7" fillId="0" borderId="22" xfId="12" applyNumberFormat="1" applyFont="1" applyFill="1" applyBorder="1" applyAlignment="1"/>
    <xf numFmtId="3" fontId="7" fillId="0" borderId="23" xfId="12" applyNumberFormat="1" applyFont="1" applyFill="1" applyBorder="1" applyAlignment="1"/>
    <xf numFmtId="3" fontId="7" fillId="0" borderId="28" xfId="12" applyNumberFormat="1" applyFont="1" applyFill="1" applyBorder="1" applyAlignment="1"/>
    <xf numFmtId="3" fontId="7" fillId="0" borderId="29" xfId="12" applyNumberFormat="1" applyFont="1" applyFill="1" applyBorder="1" applyAlignment="1"/>
    <xf numFmtId="3" fontId="7" fillId="0" borderId="30" xfId="12" applyNumberFormat="1" applyFont="1" applyFill="1" applyBorder="1" applyAlignment="1"/>
    <xf numFmtId="3" fontId="5" fillId="8" borderId="15" xfId="1" applyNumberFormat="1" applyFont="1" applyFill="1" applyBorder="1"/>
    <xf numFmtId="3" fontId="0" fillId="8" borderId="6" xfId="0" applyNumberFormat="1" applyFill="1" applyBorder="1"/>
    <xf numFmtId="3" fontId="5" fillId="8" borderId="6" xfId="1" applyNumberFormat="1" applyFont="1" applyFill="1" applyBorder="1"/>
    <xf numFmtId="3" fontId="16" fillId="6" borderId="34" xfId="0" applyNumberFormat="1" applyFont="1" applyFill="1" applyBorder="1" applyAlignment="1">
      <alignment horizontal="center" vertical="center" wrapText="1"/>
    </xf>
    <xf numFmtId="3" fontId="7" fillId="8" borderId="22" xfId="12" applyNumberFormat="1" applyFont="1" applyFill="1" applyBorder="1" applyAlignment="1"/>
    <xf numFmtId="3" fontId="7" fillId="8" borderId="23" xfId="12" applyNumberFormat="1" applyFont="1" applyFill="1" applyBorder="1" applyAlignment="1"/>
    <xf numFmtId="0" fontId="16" fillId="6" borderId="36" xfId="0" applyFont="1" applyFill="1" applyBorder="1" applyAlignment="1">
      <alignment horizontal="center" vertical="center"/>
    </xf>
    <xf numFmtId="3" fontId="16" fillId="6" borderId="37" xfId="0" applyNumberFormat="1" applyFont="1" applyFill="1" applyBorder="1" applyAlignment="1">
      <alignment horizontal="center" vertical="center"/>
    </xf>
    <xf numFmtId="3" fontId="2" fillId="6" borderId="37" xfId="0" applyNumberFormat="1" applyFont="1" applyFill="1" applyBorder="1" applyAlignment="1">
      <alignment horizontal="center" vertical="center" wrapText="1"/>
    </xf>
    <xf numFmtId="3" fontId="3" fillId="6" borderId="37" xfId="0" applyNumberFormat="1" applyFont="1" applyFill="1" applyBorder="1" applyAlignment="1">
      <alignment horizontal="center" vertical="center" wrapText="1"/>
    </xf>
    <xf numFmtId="3" fontId="3" fillId="6" borderId="40" xfId="0" applyNumberFormat="1" applyFont="1" applyFill="1" applyBorder="1" applyAlignment="1">
      <alignment horizontal="center" vertical="center" wrapText="1"/>
    </xf>
    <xf numFmtId="3" fontId="2" fillId="6" borderId="43" xfId="0" applyNumberFormat="1" applyFont="1" applyFill="1" applyBorder="1" applyAlignment="1">
      <alignment horizontal="center" vertical="center" wrapText="1"/>
    </xf>
    <xf numFmtId="3" fontId="2" fillId="6" borderId="58" xfId="0" applyNumberFormat="1" applyFont="1" applyFill="1" applyBorder="1" applyAlignment="1">
      <alignment horizontal="center" vertical="center" wrapText="1"/>
    </xf>
    <xf numFmtId="3" fontId="2" fillId="6" borderId="59" xfId="0" applyNumberFormat="1" applyFont="1" applyFill="1" applyBorder="1" applyAlignment="1">
      <alignment horizontal="center" vertical="center" wrapText="1"/>
    </xf>
    <xf numFmtId="3" fontId="2" fillId="6" borderId="60" xfId="0" applyNumberFormat="1" applyFont="1" applyFill="1" applyBorder="1" applyAlignment="1">
      <alignment horizontal="center" vertical="center" wrapText="1"/>
    </xf>
    <xf numFmtId="3" fontId="2" fillId="6" borderId="5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7" fillId="3" borderId="29" xfId="12" applyNumberFormat="1" applyFont="1" applyFill="1" applyBorder="1" applyAlignment="1"/>
    <xf numFmtId="3" fontId="0" fillId="3" borderId="29" xfId="0" applyNumberFormat="1" applyFill="1" applyBorder="1"/>
    <xf numFmtId="10" fontId="19" fillId="0" borderId="55" xfId="3" applyNumberFormat="1" applyFont="1" applyFill="1" applyBorder="1" applyAlignment="1">
      <alignment vertical="top" wrapText="1"/>
    </xf>
    <xf numFmtId="10" fontId="6" fillId="0" borderId="56" xfId="3" applyNumberFormat="1" applyFont="1" applyFill="1" applyBorder="1"/>
    <xf numFmtId="10" fontId="6" fillId="0" borderId="0" xfId="3" applyNumberFormat="1" applyFont="1" applyFill="1"/>
    <xf numFmtId="1" fontId="19" fillId="0" borderId="0" xfId="0" applyNumberFormat="1" applyFont="1" applyAlignment="1">
      <alignment vertical="top" wrapText="1"/>
    </xf>
    <xf numFmtId="0" fontId="6" fillId="0" borderId="0" xfId="0" applyFont="1" applyAlignment="1">
      <alignment horizontal="right"/>
    </xf>
    <xf numFmtId="10" fontId="19" fillId="0" borderId="55" xfId="3" applyNumberFormat="1" applyFont="1" applyBorder="1" applyAlignment="1">
      <alignment vertical="top" wrapText="1"/>
    </xf>
    <xf numFmtId="3" fontId="5" fillId="3" borderId="4" xfId="1" applyNumberFormat="1" applyFont="1" applyFill="1" applyBorder="1" applyAlignment="1">
      <alignment horizontal="right"/>
    </xf>
    <xf numFmtId="3" fontId="5" fillId="3" borderId="3" xfId="1" applyNumberFormat="1" applyFont="1" applyFill="1" applyBorder="1" applyAlignment="1">
      <alignment horizontal="right"/>
    </xf>
    <xf numFmtId="3" fontId="0" fillId="3" borderId="15" xfId="0" applyNumberFormat="1" applyFill="1" applyBorder="1"/>
    <xf numFmtId="3" fontId="0" fillId="3" borderId="12" xfId="0" applyNumberFormat="1" applyFill="1" applyBorder="1"/>
    <xf numFmtId="3" fontId="0" fillId="3" borderId="1" xfId="0" applyNumberFormat="1" applyFill="1" applyBorder="1" applyAlignment="1">
      <alignment horizontal="right"/>
    </xf>
    <xf numFmtId="14" fontId="32" fillId="0" borderId="6" xfId="0" applyNumberFormat="1" applyFont="1" applyBorder="1"/>
    <xf numFmtId="0" fontId="20" fillId="0" borderId="10" xfId="0" applyFont="1" applyBorder="1"/>
    <xf numFmtId="0" fontId="20" fillId="0" borderId="0" xfId="0" applyFont="1"/>
    <xf numFmtId="0" fontId="15" fillId="0" borderId="2" xfId="0" applyFont="1" applyBorder="1"/>
    <xf numFmtId="3" fontId="0" fillId="4" borderId="1" xfId="0" applyNumberFormat="1" applyFill="1" applyBorder="1"/>
    <xf numFmtId="3" fontId="25" fillId="3" borderId="22" xfId="12" applyNumberFormat="1" applyFont="1" applyFill="1" applyBorder="1" applyAlignment="1"/>
    <xf numFmtId="3" fontId="25" fillId="3" borderId="28" xfId="12" applyNumberFormat="1" applyFont="1" applyFill="1" applyBorder="1" applyAlignment="1"/>
    <xf numFmtId="3" fontId="0" fillId="3" borderId="6" xfId="0" applyNumberFormat="1" applyFill="1" applyBorder="1"/>
    <xf numFmtId="3" fontId="26" fillId="4" borderId="31" xfId="0" applyNumberFormat="1" applyFont="1" applyFill="1" applyBorder="1"/>
    <xf numFmtId="10" fontId="6" fillId="5" borderId="32" xfId="0" applyNumberFormat="1" applyFont="1" applyFill="1" applyBorder="1"/>
    <xf numFmtId="10" fontId="6" fillId="5" borderId="29" xfId="3" applyNumberFormat="1" applyFont="1" applyFill="1" applyBorder="1"/>
    <xf numFmtId="3" fontId="6" fillId="5" borderId="29" xfId="0" applyNumberFormat="1" applyFont="1" applyFill="1" applyBorder="1"/>
    <xf numFmtId="10" fontId="6" fillId="5" borderId="22" xfId="3" applyNumberFormat="1" applyFont="1" applyFill="1" applyBorder="1"/>
    <xf numFmtId="10" fontId="6" fillId="5" borderId="70" xfId="3" applyNumberFormat="1" applyFont="1" applyFill="1" applyBorder="1"/>
    <xf numFmtId="0" fontId="0" fillId="0" borderId="22" xfId="0" applyBorder="1"/>
    <xf numFmtId="3" fontId="5" fillId="3" borderId="13" xfId="1" applyNumberFormat="1" applyFont="1" applyFill="1" applyBorder="1" applyAlignment="1">
      <alignment horizontal="right"/>
    </xf>
    <xf numFmtId="3" fontId="5" fillId="4" borderId="6" xfId="1" applyNumberFormat="1" applyFont="1" applyFill="1" applyBorder="1"/>
    <xf numFmtId="3" fontId="6" fillId="4" borderId="20" xfId="0" applyNumberFormat="1" applyFont="1" applyFill="1" applyBorder="1"/>
    <xf numFmtId="3" fontId="6" fillId="4" borderId="15" xfId="0" applyNumberFormat="1" applyFont="1" applyFill="1" applyBorder="1"/>
    <xf numFmtId="3" fontId="0" fillId="4" borderId="15" xfId="0" applyNumberFormat="1" applyFill="1" applyBorder="1"/>
    <xf numFmtId="10" fontId="12" fillId="4" borderId="55" xfId="3" applyNumberFormat="1" applyFont="1" applyFill="1" applyBorder="1" applyAlignment="1">
      <alignment vertical="top" wrapText="1"/>
    </xf>
    <xf numFmtId="3" fontId="0" fillId="4" borderId="0" xfId="0" applyNumberFormat="1" applyFill="1"/>
    <xf numFmtId="10" fontId="0" fillId="4" borderId="0" xfId="3" applyNumberFormat="1" applyFont="1" applyFill="1" applyBorder="1"/>
    <xf numFmtId="10" fontId="7" fillId="4" borderId="56" xfId="3" applyNumberFormat="1" applyFont="1" applyFill="1" applyBorder="1"/>
    <xf numFmtId="14" fontId="32" fillId="0" borderId="6" xfId="0" applyNumberFormat="1" applyFont="1" applyBorder="1" applyAlignment="1">
      <alignment horizontal="right"/>
    </xf>
    <xf numFmtId="3" fontId="6" fillId="3" borderId="16" xfId="0" applyNumberFormat="1" applyFont="1" applyFill="1" applyBorder="1"/>
    <xf numFmtId="3" fontId="5" fillId="3" borderId="4" xfId="1" applyNumberFormat="1" applyFont="1" applyFill="1" applyBorder="1"/>
    <xf numFmtId="3" fontId="6" fillId="3" borderId="20" xfId="0" applyNumberFormat="1" applyFont="1" applyFill="1" applyBorder="1"/>
    <xf numFmtId="3" fontId="6" fillId="3" borderId="15" xfId="0" applyNumberFormat="1" applyFont="1" applyFill="1" applyBorder="1"/>
    <xf numFmtId="1" fontId="0" fillId="0" borderId="20" xfId="0" applyNumberFormat="1" applyBorder="1" applyAlignment="1">
      <alignment horizontal="right"/>
    </xf>
    <xf numFmtId="1" fontId="5" fillId="0" borderId="12" xfId="0" applyNumberFormat="1" applyFont="1" applyBorder="1" applyAlignment="1">
      <alignment horizontal="right"/>
    </xf>
    <xf numFmtId="1" fontId="0" fillId="0" borderId="12" xfId="0" applyNumberFormat="1" applyBorder="1" applyAlignment="1">
      <alignment horizontal="right"/>
    </xf>
    <xf numFmtId="1" fontId="0" fillId="3" borderId="12" xfId="0" applyNumberFormat="1" applyFill="1" applyBorder="1" applyAlignment="1">
      <alignment horizontal="right"/>
    </xf>
    <xf numFmtId="1" fontId="0" fillId="0" borderId="6" xfId="0" applyNumberFormat="1" applyBorder="1" applyAlignment="1">
      <alignment horizontal="right"/>
    </xf>
    <xf numFmtId="0" fontId="0" fillId="3" borderId="2" xfId="0" applyFill="1" applyBorder="1" applyAlignment="1">
      <alignment horizontal="center" vertical="top"/>
    </xf>
    <xf numFmtId="0" fontId="0" fillId="3" borderId="13" xfId="0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3" fontId="16" fillId="6" borderId="34" xfId="0" applyNumberFormat="1" applyFont="1" applyFill="1" applyBorder="1" applyAlignment="1">
      <alignment horizontal="center" vertical="center" wrapText="1"/>
    </xf>
    <xf numFmtId="3" fontId="16" fillId="6" borderId="53" xfId="0" applyNumberFormat="1" applyFont="1" applyFill="1" applyBorder="1" applyAlignment="1">
      <alignment horizontal="center" vertical="center" wrapText="1"/>
    </xf>
    <xf numFmtId="3" fontId="16" fillId="6" borderId="62" xfId="0" applyNumberFormat="1" applyFont="1" applyFill="1" applyBorder="1" applyAlignment="1">
      <alignment horizontal="center" wrapText="1"/>
    </xf>
    <xf numFmtId="3" fontId="16" fillId="6" borderId="63" xfId="0" applyNumberFormat="1" applyFont="1" applyFill="1" applyBorder="1" applyAlignment="1">
      <alignment horizontal="center" wrapText="1"/>
    </xf>
    <xf numFmtId="3" fontId="16" fillId="6" borderId="64" xfId="0" applyNumberFormat="1" applyFont="1" applyFill="1" applyBorder="1" applyAlignment="1">
      <alignment horizontal="center" wrapText="1"/>
    </xf>
    <xf numFmtId="0" fontId="5" fillId="0" borderId="1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12" fillId="0" borderId="0" xfId="0" applyFont="1" applyAlignment="1">
      <alignment horizontal="left" vertical="top" wrapText="1"/>
    </xf>
    <xf numFmtId="3" fontId="2" fillId="6" borderId="48" xfId="0" applyNumberFormat="1" applyFont="1" applyFill="1" applyBorder="1" applyAlignment="1">
      <alignment horizontal="center" vertical="center" wrapText="1"/>
    </xf>
    <xf numFmtId="3" fontId="2" fillId="6" borderId="47" xfId="0" applyNumberFormat="1" applyFont="1" applyFill="1" applyBorder="1" applyAlignment="1">
      <alignment horizontal="center" vertical="center" wrapText="1"/>
    </xf>
    <xf numFmtId="3" fontId="2" fillId="6" borderId="49" xfId="0" applyNumberFormat="1" applyFont="1" applyFill="1" applyBorder="1" applyAlignment="1">
      <alignment horizontal="center" vertical="center" wrapText="1"/>
    </xf>
    <xf numFmtId="3" fontId="16" fillId="6" borderId="44" xfId="0" applyNumberFormat="1" applyFont="1" applyFill="1" applyBorder="1" applyAlignment="1">
      <alignment horizontal="center" wrapText="1"/>
    </xf>
    <xf numFmtId="3" fontId="16" fillId="6" borderId="43" xfId="0" applyNumberFormat="1" applyFont="1" applyFill="1" applyBorder="1" applyAlignment="1">
      <alignment horizontal="center" wrapText="1"/>
    </xf>
    <xf numFmtId="3" fontId="16" fillId="6" borderId="45" xfId="0" applyNumberFormat="1" applyFont="1" applyFill="1" applyBorder="1" applyAlignment="1">
      <alignment horizontal="center"/>
    </xf>
    <xf numFmtId="3" fontId="16" fillId="6" borderId="35" xfId="0" applyNumberFormat="1" applyFont="1" applyFill="1" applyBorder="1" applyAlignment="1">
      <alignment horizontal="center"/>
    </xf>
    <xf numFmtId="3" fontId="16" fillId="6" borderId="50" xfId="0" applyNumberFormat="1" applyFont="1" applyFill="1" applyBorder="1" applyAlignment="1">
      <alignment horizontal="center"/>
    </xf>
    <xf numFmtId="3" fontId="2" fillId="6" borderId="48" xfId="0" applyNumberFormat="1" applyFont="1" applyFill="1" applyBorder="1" applyAlignment="1">
      <alignment horizontal="center" wrapText="1"/>
    </xf>
    <xf numFmtId="3" fontId="2" fillId="6" borderId="49" xfId="0" applyNumberFormat="1" applyFont="1" applyFill="1" applyBorder="1" applyAlignment="1">
      <alignment horizontal="center" wrapText="1"/>
    </xf>
    <xf numFmtId="3" fontId="2" fillId="6" borderId="34" xfId="0" applyNumberFormat="1" applyFont="1" applyFill="1" applyBorder="1" applyAlignment="1">
      <alignment horizontal="center" vertical="center" wrapText="1"/>
    </xf>
    <xf numFmtId="3" fontId="2" fillId="6" borderId="53" xfId="0" applyNumberFormat="1" applyFont="1" applyFill="1" applyBorder="1" applyAlignment="1">
      <alignment horizontal="center" vertical="center" wrapText="1"/>
    </xf>
    <xf numFmtId="3" fontId="21" fillId="0" borderId="2" xfId="0" applyNumberFormat="1" applyFont="1" applyBorder="1" applyAlignment="1">
      <alignment horizontal="right" vertical="center" wrapText="1"/>
    </xf>
    <xf numFmtId="3" fontId="21" fillId="0" borderId="13" xfId="0" applyNumberFormat="1" applyFont="1" applyBorder="1" applyAlignment="1">
      <alignment horizontal="right" vertical="center" wrapText="1"/>
    </xf>
    <xf numFmtId="3" fontId="21" fillId="0" borderId="4" xfId="0" applyNumberFormat="1" applyFont="1" applyBorder="1" applyAlignment="1">
      <alignment horizontal="right" vertical="center" wrapText="1"/>
    </xf>
    <xf numFmtId="3" fontId="14" fillId="0" borderId="1" xfId="0" applyNumberFormat="1" applyFont="1" applyBorder="1" applyAlignment="1">
      <alignment horizontal="right" vertical="center" wrapText="1"/>
    </xf>
  </cellXfs>
  <cellStyles count="23">
    <cellStyle name="Comma" xfId="2" builtinId="3"/>
    <cellStyle name="Comma 2" xfId="9" xr:uid="{00000000-0005-0000-0000-000001000000}"/>
    <cellStyle name="Comma 2 2" xfId="15" xr:uid="{00000000-0005-0000-0000-000002000000}"/>
    <cellStyle name="Comma 3" xfId="8" xr:uid="{00000000-0005-0000-0000-000003000000}"/>
    <cellStyle name="Comma 3 2" xfId="13" xr:uid="{00000000-0005-0000-0000-000004000000}"/>
    <cellStyle name="Comma 4" xfId="10" xr:uid="{00000000-0005-0000-0000-000005000000}"/>
    <cellStyle name="Comma 4 2" xfId="14" xr:uid="{00000000-0005-0000-0000-000006000000}"/>
    <cellStyle name="Comma 5" xfId="12" xr:uid="{00000000-0005-0000-0000-000007000000}"/>
    <cellStyle name="Comma 6" xfId="6" xr:uid="{00000000-0005-0000-0000-000008000000}"/>
    <cellStyle name="Comma 7" xfId="21" xr:uid="{00000000-0005-0000-0000-000009000000}"/>
    <cellStyle name="Comma 8" xfId="16" xr:uid="{00000000-0005-0000-0000-00000A000000}"/>
    <cellStyle name="Neutral" xfId="1" builtinId="28"/>
    <cellStyle name="Normal" xfId="0" builtinId="0"/>
    <cellStyle name="Normal 12" xfId="20" xr:uid="{00000000-0005-0000-0000-00000E000000}"/>
    <cellStyle name="Normal 2" xfId="4" xr:uid="{00000000-0005-0000-0000-00000F000000}"/>
    <cellStyle name="Normal 2 2" xfId="18" xr:uid="{00000000-0005-0000-0000-000010000000}"/>
    <cellStyle name="Normal 3" xfId="17" xr:uid="{00000000-0005-0000-0000-000011000000}"/>
    <cellStyle name="Normal 3 2" xfId="22" xr:uid="{00000000-0005-0000-0000-000012000000}"/>
    <cellStyle name="Percent" xfId="3" builtinId="5"/>
    <cellStyle name="Percent 2" xfId="7" xr:uid="{00000000-0005-0000-0000-000014000000}"/>
    <cellStyle name="Percent 2 2" xfId="19" xr:uid="{00000000-0005-0000-0000-000015000000}"/>
    <cellStyle name="Percent 3" xfId="11" xr:uid="{00000000-0005-0000-0000-000016000000}"/>
    <cellStyle name="Pourcentage 2" xfId="5" xr:uid="{00000000-0005-0000-0000-000017000000}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LACK Julia" id="{4F69F583-F159-419E-87A9-57A4C9BD672F}" userId="BLACK Julia" providerId="None"/>
  <person displayName="BLACK Julia" id="{C1DE91A7-9E15-42C2-9C2A-CED536C7CC58}" userId="S::jblack@iom.int::74a54e93-930b-44c7-8dcc-2be4495599be" providerId="AD"/>
  <person displayName="SANCHEZ DIONIS Marta" id="{5318481D-F04B-4DBE-8ABA-7A3A3DC8455D}" userId="S::msanchez@iom.int::4e8ed92f-1c95-436e-833b-11c0a69d01b7" providerId="AD"/>
  <person displayName="SANCHEZ Marta" id="{92E36FD3-57CB-4B0C-B561-57020409F8CA}" userId="S::marsanchez@iom.int::4e8ed92f-1c95-436e-833b-11c0a69d01b7" providerId="AD"/>
  <person displayName="ABDELAZIM Merna" id="{16F9CF87-8631-4112-843F-B1945AF4F152}" userId="S::meabdelazim@iom.int::28473c76-e8c6-4bf6-a87a-e06024cac2f4" providerId="AD"/>
  <person displayName="GARCIA BORJA Andrea Haidee" id="{A87AED95-1C00-455F-B63B-4B5C91B7DB45}" userId="S::agarciaborja@iom.int::6b7e267a-b57b-42bb-8c92-6a3773aad7b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9" personId="{4F69F583-F159-419E-87A9-57A4C9BD672F}" id="{DBB4727F-96B6-4262-B0CC-D7319D750357}">
    <text>does not match up to monthly totals (641) in FTDES report
https://ftdes.net/rapports/fr.omm2016.pdf</text>
  </threadedComment>
  <threadedComment ref="Q42" personId="{4F69F583-F159-419E-87A9-57A4C9BD672F}" id="{676CF3D7-C1E7-4FDD-9618-063C04C9E4EE}">
    <text>does not match monthly totals (1105) in FTDES report
https://ftdes.net/rapports/fr.omm2016.pdf</text>
  </threadedComment>
  <threadedComment ref="Q55" personId="{4F69F583-F159-419E-87A9-57A4C9BD672F}" id="{0D44D9A1-DF37-4692-8D8F-1814800BC841}">
    <text>Data from FTDES https://ftdes.net/rapports/en.omm3.2017.pdf</text>
  </threadedComment>
  <threadedComment ref="G81" dT="2020-01-10T09:31:49.24" personId="{92E36FD3-57CB-4B0C-B561-57020409F8CA}" id="{08C2BA64-D8D7-4432-A114-D2D51D7596B8}">
    <text>Flavio's calculation is off by 2 (total in 09.01.2020 email is 11.471)</text>
  </threadedComment>
  <threadedComment ref="L82" dT="2021-09-30T12:21:43.16" personId="{A87AED95-1C00-455F-B63B-4B5C91B7DB45}" id="{63017561-D5A0-4FC8-A9F0-814C19CB6009}">
    <text>DTM received the figure for the first six months of the year and split it evenly</text>
  </threadedComment>
  <threadedComment ref="L82" dT="2021-11-16T08:52:23.83" personId="{5318481D-F04B-4DBE-8ABA-7A3A3DC8455D}" id="{EB7A083D-4380-4AA2-B696-F6445B2B004D}" parentId="{63017561-D5A0-4FC8-A9F0-814C19CB6009}">
    <text>funny</text>
  </threadedComment>
  <threadedComment ref="Q127" dT="2023-10-13T13:33:27.42" personId="{16F9CF87-8631-4112-843F-B1945AF4F152}" id="{E47055A9-0C75-4725-95BB-EBABA86AE5D7}">
    <text>according to FTDES, MoI did not publish stats for July which the FTDES believes are so much higher than they captured</text>
  </threadedComment>
  <threadedComment ref="Q129" dT="2023-10-13T13:34:20.18" personId="{16F9CF87-8631-4112-843F-B1945AF4F152}" id="{D5C295AB-6F44-41AD-8BB8-F2F33AE108B6}">
    <text>According to FTDES, MoI declared that interceptions between Jan-Sep are "72,516" and not 41K, these were the cases captured by FTDES.</text>
  </threadedComment>
  <threadedComment ref="Q132" dT="2024-01-18T14:41:33.17" personId="{16F9CF87-8631-4112-843F-B1945AF4F152}" id="{10595C36-D789-4973-B34F-A37C79FCBAF5}">
    <text>still not updated by FTDES on 18 January 2024, will revisit</text>
  </threadedComment>
  <threadedComment ref="Q133" dT="2024-01-18T14:56:26.16" personId="{16F9CF87-8631-4112-843F-B1945AF4F152}" id="{1DFAE8B1-A23E-4C6E-BA79-03B842AF28F6}">
    <text>according to FTDES that interceptions are 79,905 according to Minister of Interopr statement (but the figures recorded are the official reports on interceptions)</text>
  </threadedComment>
  <threadedComment ref="Q146" dT="2025-06-17T11:23:59.70" personId="{C1DE91A7-9E15-42C2-9C2A-CED536C7CC58}" id="{0A50BB0E-8BBE-45A2-B0BF-B93AF1412C33}">
    <text>UNHCR has 37,015 recorded as of 17.06.2025 but I don’t have a monthly breakdown</text>
  </threadedComment>
  <threadedComment ref="Q159" dT="2025-06-17T11:23:59.70" personId="{C1DE91A7-9E15-42C2-9C2A-CED536C7CC58}" id="{E4062E61-C1FF-4CE0-B81B-CE6C2DF0BD54}">
    <text>UNHCR has 37,015 recorded as of 17.06.2025 but I don’t have a monthly breakdown</text>
  </threadedComment>
  <threadedComment ref="R161" dT="2022-04-07T10:38:58.37" personId="{A87AED95-1C00-455F-B63B-4B5C91B7DB45}" id="{DF1CD30F-30ED-485B-B2E9-203E81B2D610}">
    <text>original file: https://iomint.sharepoint.com/:x:/s/MissingMigrantsProject424/EVDmh6jS2bpDjRk34-nMmVYByfIay8bfP4KLVrcUAjhM2A?e=jQctPj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6A4A-2031-4258-9E50-7E35710F2F93}">
  <sheetPr>
    <tabColor rgb="FF92D050"/>
  </sheetPr>
  <dimension ref="A1:AM161"/>
  <sheetViews>
    <sheetView tabSelected="1" zoomScale="110" zoomScaleNormal="110" workbookViewId="0">
      <pane xSplit="2" ySplit="3" topLeftCell="C123" activePane="bottomRight" state="frozen"/>
      <selection pane="topRight" activeCell="C1" sqref="C1"/>
      <selection pane="bottomLeft" activeCell="A4" sqref="A4"/>
      <selection pane="bottomRight" activeCell="A147" sqref="A147:A158"/>
    </sheetView>
  </sheetViews>
  <sheetFormatPr baseColWidth="10" defaultColWidth="9.1640625" defaultRowHeight="15" x14ac:dyDescent="0.2"/>
  <cols>
    <col min="1" max="1" width="6.1640625" customWidth="1"/>
    <col min="2" max="3" width="11.33203125" customWidth="1"/>
    <col min="4" max="4" width="9.83203125" customWidth="1"/>
    <col min="5" max="5" width="10.5" customWidth="1"/>
    <col min="6" max="6" width="10.83203125" customWidth="1"/>
    <col min="7" max="7" width="11.1640625" customWidth="1"/>
    <col min="8" max="8" width="10.5" customWidth="1"/>
    <col min="9" max="9" width="11.1640625" style="40" customWidth="1"/>
    <col min="10" max="10" width="12.5" customWidth="1"/>
    <col min="11" max="11" width="10.6640625" customWidth="1"/>
    <col min="12" max="12" width="10.5" customWidth="1"/>
    <col min="13" max="14" width="11.33203125" customWidth="1"/>
    <col min="15" max="18" width="13.5" customWidth="1"/>
    <col min="19" max="19" width="12.1640625" style="3" customWidth="1"/>
    <col min="20" max="20" width="14.33203125" customWidth="1"/>
    <col min="21" max="23" width="14.5" customWidth="1"/>
    <col min="24" max="24" width="12.5" customWidth="1"/>
    <col min="25" max="25" width="10.5" style="116" customWidth="1"/>
    <col min="26" max="26" width="12.5" customWidth="1"/>
    <col min="27" max="27" width="9.1640625" customWidth="1"/>
    <col min="28" max="28" width="13" customWidth="1"/>
    <col min="29" max="29" width="12" customWidth="1"/>
    <col min="30" max="31" width="11.5" customWidth="1"/>
    <col min="32" max="32" width="3.5" style="11" customWidth="1"/>
    <col min="33" max="36" width="12" customWidth="1"/>
  </cols>
  <sheetData>
    <row r="1" spans="1:37" s="295" customFormat="1" ht="57.75" customHeight="1" thickBot="1" x14ac:dyDescent="0.25">
      <c r="A1" s="285" t="s">
        <v>0</v>
      </c>
      <c r="B1" s="286" t="s">
        <v>1</v>
      </c>
      <c r="C1" s="181" t="s">
        <v>2</v>
      </c>
      <c r="D1" s="182" t="s">
        <v>3</v>
      </c>
      <c r="E1" s="182" t="s">
        <v>4</v>
      </c>
      <c r="F1" s="182" t="s">
        <v>5</v>
      </c>
      <c r="G1" s="287" t="s">
        <v>6</v>
      </c>
      <c r="H1" s="181" t="s">
        <v>7</v>
      </c>
      <c r="I1" s="288" t="s">
        <v>8</v>
      </c>
      <c r="J1" s="181" t="s">
        <v>9</v>
      </c>
      <c r="K1" s="180" t="s">
        <v>10</v>
      </c>
      <c r="L1" s="287" t="s">
        <v>11</v>
      </c>
      <c r="M1" s="288" t="s">
        <v>12</v>
      </c>
      <c r="N1" s="289" t="s">
        <v>13</v>
      </c>
      <c r="O1" s="290" t="s">
        <v>14</v>
      </c>
      <c r="P1" s="291" t="s">
        <v>15</v>
      </c>
      <c r="Q1" s="290" t="s">
        <v>16</v>
      </c>
      <c r="R1" s="292" t="s">
        <v>17</v>
      </c>
      <c r="S1" s="293" t="s">
        <v>18</v>
      </c>
      <c r="T1" s="180" t="s">
        <v>19</v>
      </c>
      <c r="U1" s="181" t="s">
        <v>20</v>
      </c>
      <c r="V1" s="182" t="s">
        <v>21</v>
      </c>
      <c r="W1" s="182" t="s">
        <v>2</v>
      </c>
      <c r="X1" s="294" t="s">
        <v>22</v>
      </c>
      <c r="Y1" s="282" t="s">
        <v>23</v>
      </c>
      <c r="Z1" s="365" t="s">
        <v>24</v>
      </c>
      <c r="AA1" s="365" t="s">
        <v>25</v>
      </c>
      <c r="AB1" s="365" t="s">
        <v>26</v>
      </c>
      <c r="AC1" s="365" t="s">
        <v>27</v>
      </c>
      <c r="AD1" s="346" t="s">
        <v>28</v>
      </c>
      <c r="AE1" s="346" t="s">
        <v>29</v>
      </c>
      <c r="AF1" s="170"/>
    </row>
    <row r="2" spans="1:37" s="40" customFormat="1" ht="14.25" customHeight="1" thickBot="1" x14ac:dyDescent="0.25">
      <c r="A2" s="232"/>
      <c r="B2" s="183"/>
      <c r="C2" s="358" t="s">
        <v>30</v>
      </c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48" t="s">
        <v>31</v>
      </c>
      <c r="P2" s="349"/>
      <c r="Q2" s="349"/>
      <c r="R2" s="349"/>
      <c r="S2" s="350"/>
      <c r="T2" s="360" t="s">
        <v>32</v>
      </c>
      <c r="U2" s="360"/>
      <c r="V2" s="360"/>
      <c r="W2" s="360"/>
      <c r="X2" s="361"/>
      <c r="Y2" s="362"/>
      <c r="Z2" s="365"/>
      <c r="AA2" s="365"/>
      <c r="AB2" s="365"/>
      <c r="AC2" s="365"/>
      <c r="AD2" s="346"/>
      <c r="AE2" s="346"/>
      <c r="AF2" s="170"/>
    </row>
    <row r="3" spans="1:37" s="40" customFormat="1" ht="28.5" customHeight="1" thickBot="1" x14ac:dyDescent="0.25">
      <c r="A3" s="233"/>
      <c r="B3" s="184"/>
      <c r="C3" s="355" t="s">
        <v>33</v>
      </c>
      <c r="D3" s="356"/>
      <c r="E3" s="356"/>
      <c r="F3" s="357"/>
      <c r="G3" s="363" t="s">
        <v>34</v>
      </c>
      <c r="H3" s="364"/>
      <c r="I3" s="355" t="s">
        <v>35</v>
      </c>
      <c r="J3" s="356"/>
      <c r="K3" s="356"/>
      <c r="L3" s="357"/>
      <c r="M3" s="185"/>
      <c r="N3" s="186"/>
      <c r="O3" s="187" t="s">
        <v>19</v>
      </c>
      <c r="P3" s="188" t="s">
        <v>20</v>
      </c>
      <c r="Q3" s="188" t="s">
        <v>20</v>
      </c>
      <c r="R3" s="188" t="s">
        <v>36</v>
      </c>
      <c r="S3" s="189"/>
      <c r="T3" s="184"/>
      <c r="U3" s="184"/>
      <c r="V3" s="184"/>
      <c r="W3" s="184"/>
      <c r="X3" s="190"/>
      <c r="Y3" s="191"/>
      <c r="Z3" s="365"/>
      <c r="AA3" s="366"/>
      <c r="AB3" s="366"/>
      <c r="AC3" s="366"/>
      <c r="AD3" s="347"/>
      <c r="AE3" s="347"/>
      <c r="AF3" s="170"/>
    </row>
    <row r="4" spans="1:37" x14ac:dyDescent="0.2">
      <c r="A4" s="351">
        <v>2014</v>
      </c>
      <c r="B4" s="192" t="s">
        <v>37</v>
      </c>
      <c r="C4" s="193"/>
      <c r="D4" s="167"/>
      <c r="E4" s="25"/>
      <c r="F4" s="143"/>
      <c r="G4" s="142">
        <v>2171</v>
      </c>
      <c r="H4" s="143"/>
      <c r="I4" s="194"/>
      <c r="J4" s="167">
        <v>3031</v>
      </c>
      <c r="K4" s="143"/>
      <c r="L4" s="146"/>
      <c r="M4" s="147">
        <f>SUM(J4,G4,F4,K4)</f>
        <v>5202</v>
      </c>
      <c r="N4" s="168">
        <f t="shared" ref="N4:N67" si="0">SUM(C4+D4+E4+G4+H4+I4+J4+K4+L4)</f>
        <v>5202</v>
      </c>
      <c r="O4" s="195"/>
      <c r="P4" s="196"/>
      <c r="Q4" s="197"/>
      <c r="R4" s="197"/>
      <c r="S4" s="198"/>
      <c r="T4" s="142">
        <v>2</v>
      </c>
      <c r="U4" s="25">
        <v>81</v>
      </c>
      <c r="V4" s="25">
        <v>35</v>
      </c>
      <c r="W4" s="25">
        <v>22</v>
      </c>
      <c r="X4" s="168">
        <f>SUM(T4:W4)</f>
        <v>140</v>
      </c>
      <c r="Y4" s="169">
        <f>SUM(N4,S4,X4)</f>
        <v>5342</v>
      </c>
      <c r="Z4" s="244">
        <f>X4/SUM(X4+M4+E4+S4)</f>
        <v>2.6207412953949832E-2</v>
      </c>
      <c r="AA4" s="199">
        <f>1/Z4</f>
        <v>38.157142857142858</v>
      </c>
      <c r="AB4" s="247">
        <f t="shared" ref="AB4:AB67" si="1">T4/(J4+K4+O4+T4)</f>
        <v>6.594131223211342E-4</v>
      </c>
      <c r="AC4" s="247">
        <f t="shared" ref="AC4:AC15" si="2">U4/(G4+H4+P4+U4)</f>
        <v>3.5968028419182951E-2</v>
      </c>
      <c r="AD4" s="247"/>
      <c r="AE4" s="248"/>
      <c r="AF4" s="171"/>
    </row>
    <row r="5" spans="1:37" x14ac:dyDescent="0.2">
      <c r="A5" s="351"/>
      <c r="B5" s="96" t="s">
        <v>38</v>
      </c>
      <c r="C5" s="200"/>
      <c r="D5" s="2"/>
      <c r="E5" s="4"/>
      <c r="F5" s="55"/>
      <c r="G5" s="27">
        <v>3335</v>
      </c>
      <c r="H5" s="55"/>
      <c r="I5" s="117"/>
      <c r="J5" s="2">
        <v>2977</v>
      </c>
      <c r="K5" s="55"/>
      <c r="L5" s="80"/>
      <c r="M5" s="36">
        <f t="shared" ref="M5:M15" si="3">SUM(J5,G5,F5,K5)</f>
        <v>6312</v>
      </c>
      <c r="N5" s="37">
        <f t="shared" si="0"/>
        <v>6312</v>
      </c>
      <c r="O5" s="147"/>
      <c r="P5" s="25"/>
      <c r="Q5" s="105"/>
      <c r="R5" s="25"/>
      <c r="S5" s="201"/>
      <c r="T5" s="36">
        <v>0</v>
      </c>
      <c r="U5" s="4">
        <v>129</v>
      </c>
      <c r="V5" s="4">
        <v>17</v>
      </c>
      <c r="W5" s="4">
        <v>0</v>
      </c>
      <c r="X5" s="9">
        <f t="shared" ref="X5:X68" si="4">SUM(T5:W5)</f>
        <v>146</v>
      </c>
      <c r="Y5" s="161">
        <f t="shared" ref="Y5:Y15" si="5">SUM(N5,S5,X5)</f>
        <v>6458</v>
      </c>
      <c r="Z5" s="244">
        <f t="shared" ref="Z5:Z35" si="6">X5/SUM(X5+M5+E5+S5)</f>
        <v>2.2607618457726849E-2</v>
      </c>
      <c r="AA5" s="1">
        <f t="shared" ref="AA5:AA67" si="7">1/Z5</f>
        <v>44.232876712328768</v>
      </c>
      <c r="AB5" s="249">
        <f t="shared" si="1"/>
        <v>0</v>
      </c>
      <c r="AC5" s="249">
        <f t="shared" si="2"/>
        <v>3.7240184757505776E-2</v>
      </c>
      <c r="AD5" s="249"/>
      <c r="AE5" s="250"/>
      <c r="AF5" s="171"/>
    </row>
    <row r="6" spans="1:37" x14ac:dyDescent="0.2">
      <c r="A6" s="351"/>
      <c r="B6" s="96" t="s">
        <v>39</v>
      </c>
      <c r="C6" s="200"/>
      <c r="D6" s="2"/>
      <c r="E6" s="4"/>
      <c r="F6" s="55"/>
      <c r="G6" s="27">
        <v>5459</v>
      </c>
      <c r="H6" s="55"/>
      <c r="I6" s="117"/>
      <c r="J6" s="2">
        <v>3533</v>
      </c>
      <c r="K6" s="55"/>
      <c r="L6" s="80"/>
      <c r="M6" s="36">
        <f t="shared" si="3"/>
        <v>8992</v>
      </c>
      <c r="N6" s="37">
        <f t="shared" si="0"/>
        <v>8992</v>
      </c>
      <c r="O6" s="36"/>
      <c r="P6" s="4"/>
      <c r="Q6" s="5"/>
      <c r="R6" s="4"/>
      <c r="S6" s="75"/>
      <c r="T6" s="36">
        <v>4</v>
      </c>
      <c r="U6" s="4">
        <v>113</v>
      </c>
      <c r="V6" s="4">
        <v>31</v>
      </c>
      <c r="W6" s="4">
        <v>23</v>
      </c>
      <c r="X6" s="9">
        <f t="shared" si="4"/>
        <v>171</v>
      </c>
      <c r="Y6" s="161">
        <f t="shared" si="5"/>
        <v>9163</v>
      </c>
      <c r="Z6" s="244">
        <f t="shared" si="6"/>
        <v>1.8662010258648914E-2</v>
      </c>
      <c r="AA6" s="1">
        <f t="shared" si="7"/>
        <v>53.584795321637429</v>
      </c>
      <c r="AB6" s="249">
        <f t="shared" si="1"/>
        <v>1.1309018942606728E-3</v>
      </c>
      <c r="AC6" s="249">
        <f t="shared" si="2"/>
        <v>2.0279971284996409E-2</v>
      </c>
      <c r="AD6" s="249"/>
      <c r="AE6" s="250"/>
      <c r="AF6" s="171"/>
      <c r="AG6" s="13"/>
      <c r="AH6" s="13"/>
      <c r="AI6" s="13"/>
      <c r="AJ6" s="13"/>
      <c r="AK6" s="13"/>
    </row>
    <row r="7" spans="1:37" x14ac:dyDescent="0.2">
      <c r="A7" s="351"/>
      <c r="B7" s="96" t="s">
        <v>40</v>
      </c>
      <c r="C7" s="200"/>
      <c r="D7" s="2"/>
      <c r="E7" s="4"/>
      <c r="F7" s="55"/>
      <c r="G7" s="27">
        <v>15679</v>
      </c>
      <c r="H7" s="55"/>
      <c r="I7" s="117"/>
      <c r="J7" s="2">
        <v>3812</v>
      </c>
      <c r="K7" s="55"/>
      <c r="L7" s="80"/>
      <c r="M7" s="36">
        <f t="shared" si="3"/>
        <v>19491</v>
      </c>
      <c r="N7" s="37">
        <f t="shared" si="0"/>
        <v>19491</v>
      </c>
      <c r="O7" s="36"/>
      <c r="P7" s="4"/>
      <c r="Q7" s="5"/>
      <c r="R7" s="4"/>
      <c r="S7" s="75"/>
      <c r="T7" s="39">
        <v>0</v>
      </c>
      <c r="U7" s="4">
        <v>195</v>
      </c>
      <c r="V7" s="4">
        <v>28</v>
      </c>
      <c r="W7" s="4">
        <v>84</v>
      </c>
      <c r="X7" s="9">
        <f t="shared" si="4"/>
        <v>307</v>
      </c>
      <c r="Y7" s="161">
        <f t="shared" si="5"/>
        <v>19798</v>
      </c>
      <c r="Z7" s="244">
        <f t="shared" si="6"/>
        <v>1.5506616829982826E-2</v>
      </c>
      <c r="AA7" s="1">
        <f t="shared" si="7"/>
        <v>64.488599348534208</v>
      </c>
      <c r="AB7" s="249">
        <f t="shared" si="1"/>
        <v>0</v>
      </c>
      <c r="AC7" s="249">
        <f t="shared" si="2"/>
        <v>1.2284238377220612E-2</v>
      </c>
      <c r="AD7" s="249"/>
      <c r="AE7" s="250"/>
      <c r="AF7" s="171"/>
      <c r="AG7" s="14"/>
      <c r="AI7" s="14"/>
      <c r="AJ7" s="14"/>
      <c r="AK7" s="15"/>
    </row>
    <row r="8" spans="1:37" x14ac:dyDescent="0.2">
      <c r="A8" s="351"/>
      <c r="B8" s="96" t="s">
        <v>41</v>
      </c>
      <c r="C8" s="200"/>
      <c r="D8" s="2"/>
      <c r="E8" s="4"/>
      <c r="F8" s="55"/>
      <c r="G8" s="27">
        <v>14599</v>
      </c>
      <c r="H8" s="55"/>
      <c r="I8" s="117"/>
      <c r="J8" s="2">
        <v>4904</v>
      </c>
      <c r="K8" s="55"/>
      <c r="L8" s="80"/>
      <c r="M8" s="36">
        <f t="shared" si="3"/>
        <v>19503</v>
      </c>
      <c r="N8" s="37">
        <f t="shared" si="0"/>
        <v>19503</v>
      </c>
      <c r="O8" s="36"/>
      <c r="P8" s="4"/>
      <c r="Q8" s="5"/>
      <c r="R8" s="4"/>
      <c r="S8" s="75"/>
      <c r="T8" s="36">
        <v>0</v>
      </c>
      <c r="U8" s="4">
        <v>157</v>
      </c>
      <c r="V8" s="4">
        <v>43</v>
      </c>
      <c r="W8" s="4">
        <v>38</v>
      </c>
      <c r="X8" s="9">
        <f t="shared" si="4"/>
        <v>238</v>
      </c>
      <c r="Y8" s="161">
        <f t="shared" si="5"/>
        <v>19741</v>
      </c>
      <c r="Z8" s="244">
        <f t="shared" si="6"/>
        <v>1.2056126842611823E-2</v>
      </c>
      <c r="AA8" s="1">
        <f t="shared" si="7"/>
        <v>82.945378151260513</v>
      </c>
      <c r="AB8" s="249">
        <f t="shared" si="1"/>
        <v>0</v>
      </c>
      <c r="AC8" s="249">
        <f t="shared" si="2"/>
        <v>1.0639739766874491E-2</v>
      </c>
      <c r="AD8" s="249"/>
      <c r="AE8" s="250"/>
      <c r="AF8" s="171"/>
      <c r="AG8" s="16"/>
      <c r="AH8" s="16"/>
      <c r="AI8" s="16"/>
      <c r="AJ8" s="16"/>
      <c r="AK8" s="15"/>
    </row>
    <row r="9" spans="1:37" x14ac:dyDescent="0.2">
      <c r="A9" s="351"/>
      <c r="B9" s="96" t="s">
        <v>42</v>
      </c>
      <c r="C9" s="200"/>
      <c r="D9" s="2"/>
      <c r="E9" s="4"/>
      <c r="F9" s="55"/>
      <c r="G9" s="27">
        <v>22641</v>
      </c>
      <c r="H9" s="55"/>
      <c r="I9" s="117"/>
      <c r="J9" s="2">
        <v>6214</v>
      </c>
      <c r="K9" s="55"/>
      <c r="L9" s="80"/>
      <c r="M9" s="36">
        <f t="shared" si="3"/>
        <v>28855</v>
      </c>
      <c r="N9" s="37">
        <f t="shared" si="0"/>
        <v>28855</v>
      </c>
      <c r="O9" s="36"/>
      <c r="P9" s="4"/>
      <c r="Q9" s="5"/>
      <c r="R9" s="4"/>
      <c r="S9" s="75"/>
      <c r="T9" s="36">
        <v>0</v>
      </c>
      <c r="U9" s="4">
        <v>94</v>
      </c>
      <c r="V9" s="4">
        <v>19</v>
      </c>
      <c r="W9" s="4">
        <v>321</v>
      </c>
      <c r="X9" s="9">
        <f t="shared" si="4"/>
        <v>434</v>
      </c>
      <c r="Y9" s="161">
        <f t="shared" si="5"/>
        <v>29289</v>
      </c>
      <c r="Z9" s="244">
        <f t="shared" si="6"/>
        <v>1.481784970466728E-2</v>
      </c>
      <c r="AA9" s="1">
        <f t="shared" si="7"/>
        <v>67.486175115207374</v>
      </c>
      <c r="AB9" s="249">
        <f t="shared" si="1"/>
        <v>0</v>
      </c>
      <c r="AC9" s="249">
        <f t="shared" si="2"/>
        <v>4.1345942379590935E-3</v>
      </c>
      <c r="AD9" s="249"/>
      <c r="AE9" s="250"/>
      <c r="AF9" s="171"/>
      <c r="AG9" s="15"/>
      <c r="AH9" s="15"/>
      <c r="AI9" s="15"/>
      <c r="AJ9" s="15"/>
      <c r="AK9" s="15"/>
    </row>
    <row r="10" spans="1:37" x14ac:dyDescent="0.2">
      <c r="A10" s="351"/>
      <c r="B10" s="96" t="s">
        <v>43</v>
      </c>
      <c r="C10" s="200"/>
      <c r="D10" s="2"/>
      <c r="E10" s="4"/>
      <c r="F10" s="55"/>
      <c r="G10" s="27">
        <v>24031</v>
      </c>
      <c r="H10" s="55"/>
      <c r="I10" s="117"/>
      <c r="J10" s="2">
        <v>7599</v>
      </c>
      <c r="K10" s="55"/>
      <c r="L10" s="80"/>
      <c r="M10" s="36">
        <f t="shared" si="3"/>
        <v>31630</v>
      </c>
      <c r="N10" s="37">
        <f t="shared" si="0"/>
        <v>31630</v>
      </c>
      <c r="O10" s="36"/>
      <c r="P10" s="4"/>
      <c r="Q10" s="5"/>
      <c r="R10" s="4"/>
      <c r="S10" s="75"/>
      <c r="T10" s="36">
        <v>11</v>
      </c>
      <c r="U10" s="4">
        <v>263</v>
      </c>
      <c r="V10" s="4">
        <v>37</v>
      </c>
      <c r="W10" s="4">
        <v>18</v>
      </c>
      <c r="X10" s="9">
        <f t="shared" si="4"/>
        <v>329</v>
      </c>
      <c r="Y10" s="161">
        <f t="shared" si="5"/>
        <v>31959</v>
      </c>
      <c r="Z10" s="244">
        <f t="shared" si="6"/>
        <v>1.0294439750930881E-2</v>
      </c>
      <c r="AA10" s="1">
        <f t="shared" si="7"/>
        <v>97.139817629179333</v>
      </c>
      <c r="AB10" s="249">
        <f t="shared" si="1"/>
        <v>1.4454664914586072E-3</v>
      </c>
      <c r="AC10" s="249">
        <f t="shared" si="2"/>
        <v>1.0825718284350045E-2</v>
      </c>
      <c r="AD10" s="249"/>
      <c r="AE10" s="250"/>
      <c r="AF10" s="171"/>
      <c r="AG10" s="17"/>
      <c r="AH10" s="17"/>
      <c r="AI10" s="17"/>
      <c r="AJ10" s="17"/>
      <c r="AK10" s="17"/>
    </row>
    <row r="11" spans="1:37" x14ac:dyDescent="0.2">
      <c r="A11" s="351"/>
      <c r="B11" s="96" t="s">
        <v>44</v>
      </c>
      <c r="C11" s="200"/>
      <c r="D11" s="2"/>
      <c r="E11" s="4"/>
      <c r="F11" s="55"/>
      <c r="G11" s="27">
        <v>24774</v>
      </c>
      <c r="H11" s="55"/>
      <c r="I11" s="117"/>
      <c r="J11" s="2">
        <v>9865</v>
      </c>
      <c r="K11" s="55"/>
      <c r="L11" s="80"/>
      <c r="M11" s="36">
        <f t="shared" si="3"/>
        <v>34639</v>
      </c>
      <c r="N11" s="37">
        <f t="shared" si="0"/>
        <v>34639</v>
      </c>
      <c r="O11" s="36"/>
      <c r="P11" s="4"/>
      <c r="Q11" s="5"/>
      <c r="R11" s="4"/>
      <c r="S11" s="75"/>
      <c r="T11" s="36">
        <v>0</v>
      </c>
      <c r="U11" s="4">
        <v>96</v>
      </c>
      <c r="V11" s="4">
        <v>37</v>
      </c>
      <c r="W11" s="4">
        <v>380</v>
      </c>
      <c r="X11" s="9">
        <f t="shared" si="4"/>
        <v>513</v>
      </c>
      <c r="Y11" s="161">
        <f t="shared" si="5"/>
        <v>35152</v>
      </c>
      <c r="Z11" s="244">
        <f t="shared" si="6"/>
        <v>1.4593764223941739E-2</v>
      </c>
      <c r="AA11" s="1">
        <f t="shared" si="7"/>
        <v>68.522417153996102</v>
      </c>
      <c r="AB11" s="249">
        <f t="shared" si="1"/>
        <v>0</v>
      </c>
      <c r="AC11" s="249">
        <f t="shared" si="2"/>
        <v>3.8600723763570566E-3</v>
      </c>
      <c r="AD11" s="249"/>
      <c r="AE11" s="250"/>
      <c r="AF11" s="171"/>
      <c r="AG11" s="18"/>
      <c r="AH11" s="18"/>
      <c r="AI11" s="18"/>
      <c r="AJ11" s="18"/>
      <c r="AK11" s="18"/>
    </row>
    <row r="12" spans="1:37" x14ac:dyDescent="0.2">
      <c r="A12" s="351"/>
      <c r="B12" s="96" t="s">
        <v>45</v>
      </c>
      <c r="C12" s="200"/>
      <c r="D12" s="2"/>
      <c r="E12" s="4"/>
      <c r="F12" s="55"/>
      <c r="G12" s="27">
        <v>26107</v>
      </c>
      <c r="H12" s="55"/>
      <c r="I12" s="117"/>
      <c r="J12" s="2">
        <v>11575</v>
      </c>
      <c r="K12" s="55"/>
      <c r="L12" s="80"/>
      <c r="M12" s="36">
        <f t="shared" si="3"/>
        <v>37682</v>
      </c>
      <c r="N12" s="37">
        <f t="shared" si="0"/>
        <v>37682</v>
      </c>
      <c r="O12" s="36"/>
      <c r="P12" s="4"/>
      <c r="Q12" s="5"/>
      <c r="R12" s="4"/>
      <c r="S12" s="75"/>
      <c r="T12" s="36">
        <v>4</v>
      </c>
      <c r="U12" s="4">
        <v>12</v>
      </c>
      <c r="V12" s="4">
        <v>25</v>
      </c>
      <c r="W12" s="4">
        <v>87</v>
      </c>
      <c r="X12" s="9">
        <f t="shared" si="4"/>
        <v>128</v>
      </c>
      <c r="Y12" s="161">
        <f t="shared" si="5"/>
        <v>37810</v>
      </c>
      <c r="Z12" s="244">
        <f>X12/SUM(X12+M12+E12+S12)</f>
        <v>3.3853477915895265E-3</v>
      </c>
      <c r="AA12" s="1">
        <f t="shared" si="7"/>
        <v>295.390625</v>
      </c>
      <c r="AB12" s="249">
        <f t="shared" si="1"/>
        <v>3.4545297521374905E-4</v>
      </c>
      <c r="AC12" s="249">
        <f t="shared" si="2"/>
        <v>4.5943565986446646E-4</v>
      </c>
      <c r="AD12" s="249"/>
      <c r="AE12" s="250"/>
      <c r="AF12" s="171"/>
      <c r="AG12" s="19"/>
      <c r="AH12" s="19"/>
      <c r="AI12" s="19"/>
      <c r="AJ12" s="19"/>
      <c r="AK12" s="19"/>
    </row>
    <row r="13" spans="1:37" x14ac:dyDescent="0.2">
      <c r="A13" s="351"/>
      <c r="B13" s="96" t="s">
        <v>46</v>
      </c>
      <c r="C13" s="200"/>
      <c r="D13" s="2"/>
      <c r="E13" s="4"/>
      <c r="F13" s="55"/>
      <c r="G13" s="27">
        <v>15393</v>
      </c>
      <c r="H13" s="55"/>
      <c r="I13" s="117"/>
      <c r="J13" s="2">
        <v>11628</v>
      </c>
      <c r="K13" s="55"/>
      <c r="L13" s="80"/>
      <c r="M13" s="36">
        <f t="shared" si="3"/>
        <v>27021</v>
      </c>
      <c r="N13" s="37">
        <f t="shared" si="0"/>
        <v>27021</v>
      </c>
      <c r="O13" s="36"/>
      <c r="P13" s="4"/>
      <c r="Q13" s="5"/>
      <c r="R13" s="4"/>
      <c r="S13" s="75"/>
      <c r="T13" s="36">
        <v>5</v>
      </c>
      <c r="U13" s="4">
        <v>85</v>
      </c>
      <c r="V13" s="4">
        <v>62</v>
      </c>
      <c r="W13" s="4">
        <v>22</v>
      </c>
      <c r="X13" s="9">
        <f t="shared" si="4"/>
        <v>174</v>
      </c>
      <c r="Y13" s="161">
        <f t="shared" si="5"/>
        <v>27195</v>
      </c>
      <c r="Z13" s="244">
        <f t="shared" si="6"/>
        <v>6.3982349696635413E-3</v>
      </c>
      <c r="AA13" s="1">
        <f t="shared" si="7"/>
        <v>156.29310344827584</v>
      </c>
      <c r="AB13" s="249">
        <f t="shared" si="1"/>
        <v>4.2981174245680393E-4</v>
      </c>
      <c r="AC13" s="249">
        <f t="shared" si="2"/>
        <v>5.4916655898694924E-3</v>
      </c>
      <c r="AD13" s="249"/>
      <c r="AE13" s="250"/>
      <c r="AF13" s="171"/>
    </row>
    <row r="14" spans="1:37" x14ac:dyDescent="0.2">
      <c r="A14" s="351"/>
      <c r="B14" s="96" t="s">
        <v>47</v>
      </c>
      <c r="C14" s="200"/>
      <c r="D14" s="2"/>
      <c r="E14" s="4"/>
      <c r="F14" s="55"/>
      <c r="G14" s="27">
        <v>9179</v>
      </c>
      <c r="H14" s="55"/>
      <c r="I14" s="117"/>
      <c r="J14" s="2">
        <v>7494</v>
      </c>
      <c r="K14" s="55"/>
      <c r="L14" s="80"/>
      <c r="M14" s="36">
        <f t="shared" si="3"/>
        <v>16673</v>
      </c>
      <c r="N14" s="37">
        <f t="shared" si="0"/>
        <v>16673</v>
      </c>
      <c r="O14" s="36"/>
      <c r="P14" s="4"/>
      <c r="Q14" s="5"/>
      <c r="R14" s="4"/>
      <c r="S14" s="75"/>
      <c r="T14" s="36">
        <v>6</v>
      </c>
      <c r="U14" s="4">
        <v>88</v>
      </c>
      <c r="V14" s="4">
        <v>15</v>
      </c>
      <c r="W14" s="4">
        <v>40</v>
      </c>
      <c r="X14" s="9">
        <f t="shared" si="4"/>
        <v>149</v>
      </c>
      <c r="Y14" s="161">
        <f t="shared" si="5"/>
        <v>16822</v>
      </c>
      <c r="Z14" s="244">
        <f t="shared" si="6"/>
        <v>8.8574485792414694E-3</v>
      </c>
      <c r="AA14" s="1">
        <f t="shared" si="7"/>
        <v>112.8993288590604</v>
      </c>
      <c r="AB14" s="249">
        <f t="shared" si="1"/>
        <v>8.0000000000000004E-4</v>
      </c>
      <c r="AC14" s="249">
        <f t="shared" si="2"/>
        <v>9.4960612927592527E-3</v>
      </c>
      <c r="AD14" s="249"/>
      <c r="AE14" s="250"/>
      <c r="AF14" s="171"/>
    </row>
    <row r="15" spans="1:37" x14ac:dyDescent="0.2">
      <c r="A15" s="352"/>
      <c r="B15" s="96" t="s">
        <v>48</v>
      </c>
      <c r="C15" s="200"/>
      <c r="D15" s="2"/>
      <c r="E15" s="4"/>
      <c r="F15" s="55"/>
      <c r="G15" s="27">
        <v>6732</v>
      </c>
      <c r="H15" s="55"/>
      <c r="I15" s="117"/>
      <c r="J15" s="2">
        <v>4531</v>
      </c>
      <c r="K15" s="55"/>
      <c r="L15" s="80"/>
      <c r="M15" s="36">
        <f t="shared" si="3"/>
        <v>11263</v>
      </c>
      <c r="N15" s="37">
        <f t="shared" si="0"/>
        <v>11263</v>
      </c>
      <c r="O15" s="36"/>
      <c r="P15" s="4"/>
      <c r="Q15" s="5"/>
      <c r="R15" s="4"/>
      <c r="S15" s="75"/>
      <c r="T15" s="36">
        <v>79</v>
      </c>
      <c r="U15" s="4">
        <v>240</v>
      </c>
      <c r="V15" s="4">
        <v>35</v>
      </c>
      <c r="W15" s="4">
        <v>74</v>
      </c>
      <c r="X15" s="9">
        <f t="shared" si="4"/>
        <v>428</v>
      </c>
      <c r="Y15" s="161">
        <f t="shared" si="5"/>
        <v>11691</v>
      </c>
      <c r="Z15" s="244">
        <f t="shared" si="6"/>
        <v>3.6609357625523906E-2</v>
      </c>
      <c r="AA15" s="1">
        <f t="shared" si="7"/>
        <v>27.315420560747665</v>
      </c>
      <c r="AB15" s="249">
        <f t="shared" si="1"/>
        <v>1.7136659436008676E-2</v>
      </c>
      <c r="AC15" s="249">
        <f t="shared" si="2"/>
        <v>3.4423407917383818E-2</v>
      </c>
      <c r="AD15" s="249"/>
      <c r="AE15" s="250"/>
      <c r="AF15" s="171"/>
    </row>
    <row r="16" spans="1:37" s="3" customFormat="1" x14ac:dyDescent="0.2">
      <c r="A16" s="234"/>
      <c r="B16" s="81" t="s">
        <v>49</v>
      </c>
      <c r="C16" s="202">
        <v>296</v>
      </c>
      <c r="D16" s="60">
        <v>4256</v>
      </c>
      <c r="E16" s="60">
        <v>7485</v>
      </c>
      <c r="F16" s="59">
        <v>4552</v>
      </c>
      <c r="G16" s="44">
        <f>SUM(G4:G15)</f>
        <v>170100</v>
      </c>
      <c r="H16" s="59">
        <v>569</v>
      </c>
      <c r="I16" s="118"/>
      <c r="J16" s="60">
        <f>SUM(J4:J15)</f>
        <v>77163</v>
      </c>
      <c r="K16" s="59"/>
      <c r="L16" s="81"/>
      <c r="M16" s="29">
        <f>SUM(F16,G16,H16,J16)</f>
        <v>252384</v>
      </c>
      <c r="N16" s="38">
        <f t="shared" si="0"/>
        <v>259869</v>
      </c>
      <c r="O16" s="44"/>
      <c r="P16" s="60"/>
      <c r="Q16" s="60">
        <v>1191</v>
      </c>
      <c r="R16" s="60"/>
      <c r="S16" s="174"/>
      <c r="T16" s="60">
        <f>SUM(T4:T15)</f>
        <v>111</v>
      </c>
      <c r="U16" s="60">
        <f>SUM(U4:U15)</f>
        <v>1553</v>
      </c>
      <c r="V16" s="60">
        <f>SUM(V4:V15)</f>
        <v>384</v>
      </c>
      <c r="W16" s="60">
        <f>SUM(W4:W15)</f>
        <v>1109</v>
      </c>
      <c r="X16" s="41">
        <f t="shared" si="4"/>
        <v>3157</v>
      </c>
      <c r="Y16" s="162">
        <f>SUM(N16,Q16,X16)</f>
        <v>264217</v>
      </c>
      <c r="Z16" s="245">
        <f t="shared" si="6"/>
        <v>1.200261571099435E-2</v>
      </c>
      <c r="AA16" s="114">
        <f t="shared" si="7"/>
        <v>83.315172632245805</v>
      </c>
      <c r="AB16" s="251">
        <f t="shared" si="1"/>
        <v>1.436446929109403E-3</v>
      </c>
      <c r="AC16" s="251">
        <f>U16/(G16+H16+P16+Q16+U16)</f>
        <v>8.9554992993604865E-3</v>
      </c>
      <c r="AD16" s="251">
        <f>V16/(D16+E16+V16)</f>
        <v>3.1670103092783508E-2</v>
      </c>
      <c r="AE16" s="252">
        <f>W16/(C16+W16)</f>
        <v>0.78932384341637007</v>
      </c>
      <c r="AF16" s="172"/>
      <c r="AG16" s="70" t="s">
        <v>50</v>
      </c>
    </row>
    <row r="17" spans="1:36" x14ac:dyDescent="0.2">
      <c r="A17" s="353">
        <v>2015</v>
      </c>
      <c r="B17" s="80" t="s">
        <v>37</v>
      </c>
      <c r="C17" s="95"/>
      <c r="D17" s="4">
        <v>264</v>
      </c>
      <c r="E17" s="203"/>
      <c r="F17" s="46">
        <v>264</v>
      </c>
      <c r="G17" s="27">
        <v>3528</v>
      </c>
      <c r="H17" s="55"/>
      <c r="I17" s="117">
        <v>33</v>
      </c>
      <c r="J17" s="4">
        <v>1472</v>
      </c>
      <c r="K17" s="55"/>
      <c r="L17" s="80"/>
      <c r="M17" s="36">
        <f t="shared" ref="M17:M28" si="8">SUM(J17,G17,F17,K17)</f>
        <v>5264</v>
      </c>
      <c r="N17" s="37">
        <f t="shared" si="0"/>
        <v>5297</v>
      </c>
      <c r="O17" s="36">
        <v>688</v>
      </c>
      <c r="P17" s="58"/>
      <c r="Q17" s="4">
        <v>37</v>
      </c>
      <c r="R17" s="4"/>
      <c r="S17" s="75">
        <f>SUM(O17:R17)</f>
        <v>725</v>
      </c>
      <c r="T17" s="27">
        <v>0</v>
      </c>
      <c r="U17" s="4">
        <v>67</v>
      </c>
      <c r="V17" s="4">
        <v>15</v>
      </c>
      <c r="W17" s="4"/>
      <c r="X17" s="9">
        <f t="shared" si="4"/>
        <v>82</v>
      </c>
      <c r="Y17" s="161">
        <f t="shared" ref="Y17:Y80" si="9">SUM(N17,S17,X17)</f>
        <v>6104</v>
      </c>
      <c r="Z17" s="244">
        <f t="shared" si="6"/>
        <v>1.3506835776643057E-2</v>
      </c>
      <c r="AA17" s="1">
        <f t="shared" si="7"/>
        <v>74.036585365853654</v>
      </c>
      <c r="AB17" s="249">
        <f t="shared" si="1"/>
        <v>0</v>
      </c>
      <c r="AC17" s="249">
        <f t="shared" ref="AC17:AC28" si="10">U17/(G17+H17+P17+U17)</f>
        <v>1.8636995827538246E-2</v>
      </c>
      <c r="AD17" s="78">
        <f t="shared" ref="AD17:AD80" si="11">V17/(D17+E17+V17)</f>
        <v>5.3763440860215055E-2</v>
      </c>
      <c r="AE17" s="253"/>
      <c r="AF17" s="173"/>
    </row>
    <row r="18" spans="1:36" x14ac:dyDescent="0.2">
      <c r="A18" s="351"/>
      <c r="B18" s="80" t="s">
        <v>38</v>
      </c>
      <c r="C18" s="95"/>
      <c r="D18" s="4">
        <v>44</v>
      </c>
      <c r="E18" s="203"/>
      <c r="F18" s="46">
        <v>44</v>
      </c>
      <c r="G18" s="27">
        <v>4354</v>
      </c>
      <c r="H18" s="55"/>
      <c r="I18" s="117">
        <v>83</v>
      </c>
      <c r="J18" s="4">
        <v>2480</v>
      </c>
      <c r="K18" s="55"/>
      <c r="L18" s="80"/>
      <c r="M18" s="36">
        <f t="shared" si="8"/>
        <v>6878</v>
      </c>
      <c r="N18" s="37">
        <f t="shared" si="0"/>
        <v>6961</v>
      </c>
      <c r="O18" s="36">
        <v>753</v>
      </c>
      <c r="P18" s="58"/>
      <c r="Q18" s="4">
        <v>0</v>
      </c>
      <c r="R18" s="4"/>
      <c r="S18" s="75">
        <f t="shared" ref="S18:S81" si="12">SUM(O18:R18)</f>
        <v>753</v>
      </c>
      <c r="T18" s="36">
        <v>9</v>
      </c>
      <c r="U18" s="4">
        <v>336</v>
      </c>
      <c r="V18" s="4">
        <v>0</v>
      </c>
      <c r="W18" s="4"/>
      <c r="X18" s="9">
        <f t="shared" si="4"/>
        <v>345</v>
      </c>
      <c r="Y18" s="161">
        <f t="shared" si="9"/>
        <v>8059</v>
      </c>
      <c r="Z18" s="244">
        <f t="shared" si="6"/>
        <v>4.3254764292878639E-2</v>
      </c>
      <c r="AA18" s="1">
        <f t="shared" si="7"/>
        <v>23.118840579710142</v>
      </c>
      <c r="AB18" s="249">
        <f t="shared" si="1"/>
        <v>2.7760641579272056E-3</v>
      </c>
      <c r="AC18" s="249">
        <f t="shared" si="10"/>
        <v>7.1641791044776124E-2</v>
      </c>
      <c r="AD18" s="78">
        <f t="shared" si="11"/>
        <v>0</v>
      </c>
      <c r="AE18" s="253"/>
      <c r="AF18" s="173"/>
    </row>
    <row r="19" spans="1:36" x14ac:dyDescent="0.2">
      <c r="A19" s="351"/>
      <c r="B19" s="80" t="s">
        <v>39</v>
      </c>
      <c r="C19" s="95"/>
      <c r="D19" s="4">
        <v>280</v>
      </c>
      <c r="E19" s="203"/>
      <c r="F19" s="46">
        <v>280</v>
      </c>
      <c r="G19" s="27">
        <v>2283</v>
      </c>
      <c r="H19" s="55"/>
      <c r="I19" s="117">
        <v>202</v>
      </c>
      <c r="J19" s="4">
        <v>6583</v>
      </c>
      <c r="K19" s="55"/>
      <c r="L19" s="80"/>
      <c r="M19" s="36">
        <f t="shared" si="8"/>
        <v>9146</v>
      </c>
      <c r="N19" s="37">
        <f t="shared" si="0"/>
        <v>9348</v>
      </c>
      <c r="O19" s="36">
        <v>1820</v>
      </c>
      <c r="P19" s="58"/>
      <c r="Q19" s="4">
        <v>0</v>
      </c>
      <c r="R19" s="4"/>
      <c r="S19" s="75">
        <f t="shared" si="12"/>
        <v>1820</v>
      </c>
      <c r="T19" s="36">
        <v>8</v>
      </c>
      <c r="U19" s="4">
        <v>53</v>
      </c>
      <c r="V19" s="4">
        <v>0</v>
      </c>
      <c r="W19" s="4">
        <v>41</v>
      </c>
      <c r="X19" s="9">
        <f t="shared" si="4"/>
        <v>102</v>
      </c>
      <c r="Y19" s="161">
        <f t="shared" si="9"/>
        <v>11270</v>
      </c>
      <c r="Z19" s="244">
        <f t="shared" si="6"/>
        <v>9.2157571376942533E-3</v>
      </c>
      <c r="AA19" s="1">
        <f t="shared" si="7"/>
        <v>108.50980392156863</v>
      </c>
      <c r="AB19" s="249">
        <f t="shared" si="1"/>
        <v>9.5113541790512422E-4</v>
      </c>
      <c r="AC19" s="249">
        <f t="shared" si="10"/>
        <v>2.2688356164383562E-2</v>
      </c>
      <c r="AD19" s="78">
        <f t="shared" si="11"/>
        <v>0</v>
      </c>
      <c r="AE19" s="253"/>
      <c r="AF19" s="173"/>
    </row>
    <row r="20" spans="1:36" x14ac:dyDescent="0.2">
      <c r="A20" s="351"/>
      <c r="B20" s="80" t="s">
        <v>40</v>
      </c>
      <c r="C20" s="95"/>
      <c r="D20" s="4">
        <v>243</v>
      </c>
      <c r="E20" s="203"/>
      <c r="F20" s="46">
        <v>243</v>
      </c>
      <c r="G20" s="27">
        <v>16056</v>
      </c>
      <c r="H20" s="55"/>
      <c r="I20" s="117">
        <v>156</v>
      </c>
      <c r="J20" s="4">
        <v>11873</v>
      </c>
      <c r="K20" s="55"/>
      <c r="L20" s="80"/>
      <c r="M20" s="36">
        <f t="shared" si="8"/>
        <v>28172</v>
      </c>
      <c r="N20" s="37">
        <f t="shared" si="0"/>
        <v>28328</v>
      </c>
      <c r="O20" s="36">
        <v>2490</v>
      </c>
      <c r="P20" s="58"/>
      <c r="Q20" s="4">
        <v>0</v>
      </c>
      <c r="R20" s="4"/>
      <c r="S20" s="75">
        <f t="shared" si="12"/>
        <v>2490</v>
      </c>
      <c r="T20" s="39">
        <v>14</v>
      </c>
      <c r="U20" s="4">
        <v>1480</v>
      </c>
      <c r="V20" s="4">
        <v>0</v>
      </c>
      <c r="W20" s="4"/>
      <c r="X20" s="9">
        <f t="shared" si="4"/>
        <v>1494</v>
      </c>
      <c r="Y20" s="161">
        <f t="shared" si="9"/>
        <v>32312</v>
      </c>
      <c r="Z20" s="244">
        <f t="shared" si="6"/>
        <v>4.6461002612265205E-2</v>
      </c>
      <c r="AA20" s="1">
        <f t="shared" si="7"/>
        <v>21.523427041499332</v>
      </c>
      <c r="AB20" s="249">
        <f t="shared" si="1"/>
        <v>9.7377756138276417E-4</v>
      </c>
      <c r="AC20" s="249">
        <f t="shared" si="10"/>
        <v>8.4397810218978103E-2</v>
      </c>
      <c r="AD20" s="78">
        <f t="shared" si="11"/>
        <v>0</v>
      </c>
      <c r="AE20" s="253"/>
      <c r="AF20" s="173"/>
      <c r="AG20" s="42" t="s">
        <v>51</v>
      </c>
      <c r="AH20" s="86"/>
      <c r="AI20" s="86"/>
      <c r="AJ20" s="6"/>
    </row>
    <row r="21" spans="1:36" x14ac:dyDescent="0.2">
      <c r="A21" s="351"/>
      <c r="B21" s="80" t="s">
        <v>41</v>
      </c>
      <c r="C21" s="95"/>
      <c r="D21" s="4">
        <v>512</v>
      </c>
      <c r="E21" s="203"/>
      <c r="F21" s="46">
        <v>512</v>
      </c>
      <c r="G21" s="27">
        <v>21231</v>
      </c>
      <c r="H21" s="55"/>
      <c r="I21" s="117">
        <v>168</v>
      </c>
      <c r="J21" s="4">
        <v>17889</v>
      </c>
      <c r="K21" s="55"/>
      <c r="L21" s="80"/>
      <c r="M21" s="36">
        <f t="shared" si="8"/>
        <v>39632</v>
      </c>
      <c r="N21" s="37">
        <f t="shared" si="0"/>
        <v>39800</v>
      </c>
      <c r="O21" s="36">
        <v>4378</v>
      </c>
      <c r="P21" s="58"/>
      <c r="Q21" s="4">
        <v>84</v>
      </c>
      <c r="R21" s="4"/>
      <c r="S21" s="75">
        <f t="shared" si="12"/>
        <v>4462</v>
      </c>
      <c r="T21" s="36">
        <v>0</v>
      </c>
      <c r="U21" s="4">
        <v>95</v>
      </c>
      <c r="V21" s="4">
        <v>1</v>
      </c>
      <c r="W21" s="4"/>
      <c r="X21" s="9">
        <f t="shared" si="4"/>
        <v>96</v>
      </c>
      <c r="Y21" s="161">
        <f t="shared" si="9"/>
        <v>44358</v>
      </c>
      <c r="Z21" s="244">
        <f t="shared" si="6"/>
        <v>2.1724372029871012E-3</v>
      </c>
      <c r="AA21" s="1">
        <f t="shared" si="7"/>
        <v>460.3125</v>
      </c>
      <c r="AB21" s="249">
        <f t="shared" si="1"/>
        <v>0</v>
      </c>
      <c r="AC21" s="249">
        <f t="shared" si="10"/>
        <v>4.4546562880990338E-3</v>
      </c>
      <c r="AD21" s="78">
        <f t="shared" si="11"/>
        <v>1.9493177387914229E-3</v>
      </c>
      <c r="AE21" s="253"/>
      <c r="AF21" s="173"/>
      <c r="AG21" s="87" t="s">
        <v>52</v>
      </c>
      <c r="AH21" t="s">
        <v>53</v>
      </c>
      <c r="AI21" t="s">
        <v>54</v>
      </c>
      <c r="AJ21" s="88" t="s">
        <v>55</v>
      </c>
    </row>
    <row r="22" spans="1:36" x14ac:dyDescent="0.2">
      <c r="A22" s="351"/>
      <c r="B22" s="80" t="s">
        <v>42</v>
      </c>
      <c r="C22" s="95"/>
      <c r="D22" s="4">
        <v>414</v>
      </c>
      <c r="E22" s="203"/>
      <c r="F22" s="46">
        <v>414</v>
      </c>
      <c r="G22" s="27">
        <v>22877</v>
      </c>
      <c r="H22" s="55"/>
      <c r="I22" s="117">
        <v>185</v>
      </c>
      <c r="J22" s="4">
        <v>31318</v>
      </c>
      <c r="K22" s="55"/>
      <c r="L22" s="80"/>
      <c r="M22" s="36">
        <f t="shared" si="8"/>
        <v>54609</v>
      </c>
      <c r="N22" s="37">
        <f t="shared" si="0"/>
        <v>54794</v>
      </c>
      <c r="O22" s="36">
        <v>5702</v>
      </c>
      <c r="P22" s="58"/>
      <c r="Q22" s="4">
        <v>141</v>
      </c>
      <c r="R22" s="4"/>
      <c r="S22" s="75">
        <f t="shared" si="12"/>
        <v>5843</v>
      </c>
      <c r="T22" s="36">
        <v>6</v>
      </c>
      <c r="U22" s="4">
        <v>5</v>
      </c>
      <c r="V22" s="4">
        <v>22</v>
      </c>
      <c r="W22" s="4"/>
      <c r="X22" s="9">
        <f t="shared" si="4"/>
        <v>33</v>
      </c>
      <c r="Y22" s="161">
        <f t="shared" si="9"/>
        <v>60670</v>
      </c>
      <c r="Z22" s="244">
        <f t="shared" si="6"/>
        <v>5.4558981565677441E-4</v>
      </c>
      <c r="AA22" s="1">
        <f t="shared" si="7"/>
        <v>1832.878787878788</v>
      </c>
      <c r="AB22" s="249">
        <f t="shared" si="1"/>
        <v>1.6204829039053638E-4</v>
      </c>
      <c r="AC22" s="249">
        <f t="shared" si="10"/>
        <v>2.1851236780001749E-4</v>
      </c>
      <c r="AD22" s="78">
        <f t="shared" si="11"/>
        <v>5.0458715596330278E-2</v>
      </c>
      <c r="AE22" s="253"/>
      <c r="AF22" s="173"/>
      <c r="AG22" s="89">
        <f>SUM(T17:T22)/SUM(T17:T22,O17:O22,J17:J22)</f>
        <v>4.2293931392384807E-4</v>
      </c>
      <c r="AH22" s="90">
        <f>SUM(U17:U22)/SUM(U17:U22,P17:Q22,G17:H22)</f>
        <v>2.8033651396863424E-2</v>
      </c>
      <c r="AI22" s="90">
        <f>SUM(V17:V22)/SUM(V17:V22,F17:F22)</f>
        <v>2.116991643454039E-2</v>
      </c>
      <c r="AJ22" s="91">
        <f>SUM(X17:X22)/SUM(X17:X22,S17:S22,N17:N22)</f>
        <v>1.3220865868417982E-2</v>
      </c>
    </row>
    <row r="23" spans="1:36" x14ac:dyDescent="0.2">
      <c r="A23" s="351"/>
      <c r="B23" s="80" t="s">
        <v>43</v>
      </c>
      <c r="C23" s="95"/>
      <c r="D23" s="4">
        <v>409</v>
      </c>
      <c r="E23" s="203"/>
      <c r="F23" s="46">
        <v>409</v>
      </c>
      <c r="G23" s="27">
        <v>23210</v>
      </c>
      <c r="H23" s="55">
        <v>94</v>
      </c>
      <c r="I23" s="117">
        <v>204</v>
      </c>
      <c r="J23" s="4">
        <v>54899</v>
      </c>
      <c r="K23" s="55"/>
      <c r="L23" s="80"/>
      <c r="M23" s="36">
        <f t="shared" si="8"/>
        <v>78518</v>
      </c>
      <c r="N23" s="37">
        <f t="shared" si="0"/>
        <v>78816</v>
      </c>
      <c r="O23" s="36">
        <v>12586</v>
      </c>
      <c r="P23" s="58"/>
      <c r="Q23" s="4">
        <v>95</v>
      </c>
      <c r="R23" s="4"/>
      <c r="S23" s="75">
        <f t="shared" si="12"/>
        <v>12681</v>
      </c>
      <c r="T23" s="36">
        <v>24</v>
      </c>
      <c r="U23" s="4">
        <v>206</v>
      </c>
      <c r="V23" s="4">
        <v>0</v>
      </c>
      <c r="W23" s="4"/>
      <c r="X23" s="9">
        <f t="shared" si="4"/>
        <v>230</v>
      </c>
      <c r="Y23" s="161">
        <f t="shared" si="9"/>
        <v>91727</v>
      </c>
      <c r="Z23" s="244">
        <f t="shared" si="6"/>
        <v>2.515613208063087E-3</v>
      </c>
      <c r="AA23" s="1">
        <f t="shared" si="7"/>
        <v>397.51739130434783</v>
      </c>
      <c r="AB23" s="249">
        <f t="shared" si="1"/>
        <v>3.5550815446829312E-4</v>
      </c>
      <c r="AC23" s="249">
        <f t="shared" si="10"/>
        <v>8.7622288387920032E-3</v>
      </c>
      <c r="AD23" s="78">
        <f t="shared" si="11"/>
        <v>0</v>
      </c>
      <c r="AE23" s="253"/>
      <c r="AF23" s="173"/>
    </row>
    <row r="24" spans="1:36" x14ac:dyDescent="0.2">
      <c r="A24" s="351"/>
      <c r="B24" s="80" t="s">
        <v>44</v>
      </c>
      <c r="C24" s="95"/>
      <c r="D24" s="4">
        <v>417</v>
      </c>
      <c r="E24" s="203"/>
      <c r="F24" s="46">
        <v>417</v>
      </c>
      <c r="G24" s="27">
        <v>22610</v>
      </c>
      <c r="H24" s="55"/>
      <c r="I24" s="117">
        <v>792</v>
      </c>
      <c r="J24" s="4">
        <v>107843</v>
      </c>
      <c r="K24" s="55"/>
      <c r="L24" s="80"/>
      <c r="M24" s="36">
        <f t="shared" si="8"/>
        <v>130870</v>
      </c>
      <c r="N24" s="37">
        <f t="shared" si="0"/>
        <v>131662</v>
      </c>
      <c r="O24" s="36">
        <v>17925</v>
      </c>
      <c r="P24" s="2"/>
      <c r="Q24" s="4">
        <v>54</v>
      </c>
      <c r="R24" s="4"/>
      <c r="S24" s="75">
        <f t="shared" si="12"/>
        <v>17979</v>
      </c>
      <c r="T24" s="36">
        <v>29</v>
      </c>
      <c r="U24" s="4">
        <v>652</v>
      </c>
      <c r="V24" s="4">
        <v>8</v>
      </c>
      <c r="W24" s="4"/>
      <c r="X24" s="9">
        <f t="shared" si="4"/>
        <v>689</v>
      </c>
      <c r="Y24" s="163">
        <f t="shared" si="9"/>
        <v>150330</v>
      </c>
      <c r="Z24" s="244">
        <f t="shared" si="6"/>
        <v>4.6075245088205005E-3</v>
      </c>
      <c r="AA24" s="1">
        <f t="shared" si="7"/>
        <v>217.03628447024673</v>
      </c>
      <c r="AB24" s="254">
        <f t="shared" si="1"/>
        <v>2.3053013982845378E-4</v>
      </c>
      <c r="AC24" s="254">
        <f t="shared" si="10"/>
        <v>2.8028544407187689E-2</v>
      </c>
      <c r="AD24" s="255">
        <f t="shared" si="11"/>
        <v>1.8823529411764704E-2</v>
      </c>
      <c r="AE24" s="253"/>
      <c r="AF24" s="173"/>
    </row>
    <row r="25" spans="1:36" x14ac:dyDescent="0.2">
      <c r="A25" s="351"/>
      <c r="B25" s="80" t="s">
        <v>45</v>
      </c>
      <c r="C25" s="95"/>
      <c r="D25" s="4">
        <v>621</v>
      </c>
      <c r="E25" s="203"/>
      <c r="F25" s="46">
        <v>621</v>
      </c>
      <c r="G25" s="27">
        <v>15922</v>
      </c>
      <c r="H25" s="55">
        <v>6</v>
      </c>
      <c r="I25" s="117">
        <v>274</v>
      </c>
      <c r="J25" s="4">
        <v>147639</v>
      </c>
      <c r="K25" s="55"/>
      <c r="L25" s="80"/>
      <c r="M25" s="36">
        <f t="shared" si="8"/>
        <v>164182</v>
      </c>
      <c r="N25" s="37">
        <f t="shared" si="0"/>
        <v>164462</v>
      </c>
      <c r="O25" s="36">
        <v>13647</v>
      </c>
      <c r="P25" s="58"/>
      <c r="Q25" s="61">
        <v>79</v>
      </c>
      <c r="R25" s="61"/>
      <c r="S25" s="75">
        <f t="shared" si="12"/>
        <v>13726</v>
      </c>
      <c r="T25" s="36">
        <v>190</v>
      </c>
      <c r="U25" s="4">
        <v>76</v>
      </c>
      <c r="V25" s="4">
        <v>3</v>
      </c>
      <c r="W25" s="4"/>
      <c r="X25" s="9">
        <f t="shared" si="4"/>
        <v>269</v>
      </c>
      <c r="Y25" s="161">
        <f t="shared" si="9"/>
        <v>178457</v>
      </c>
      <c r="Z25" s="244">
        <f t="shared" si="6"/>
        <v>1.5097347020097992E-3</v>
      </c>
      <c r="AA25" s="1">
        <f t="shared" si="7"/>
        <v>662.36802973977694</v>
      </c>
      <c r="AB25" s="249">
        <f t="shared" si="1"/>
        <v>1.1766454457628379E-3</v>
      </c>
      <c r="AC25" s="249">
        <f t="shared" si="10"/>
        <v>4.7488127968007996E-3</v>
      </c>
      <c r="AD25" s="78">
        <f t="shared" si="11"/>
        <v>4.807692307692308E-3</v>
      </c>
      <c r="AE25" s="253"/>
      <c r="AF25" s="173"/>
    </row>
    <row r="26" spans="1:36" x14ac:dyDescent="0.2">
      <c r="A26" s="351"/>
      <c r="B26" s="80" t="s">
        <v>46</v>
      </c>
      <c r="C26" s="95"/>
      <c r="D26" s="4">
        <v>1059</v>
      </c>
      <c r="E26" s="203"/>
      <c r="F26" s="46">
        <v>1059</v>
      </c>
      <c r="G26" s="27">
        <v>8916</v>
      </c>
      <c r="H26" s="55">
        <v>6</v>
      </c>
      <c r="I26" s="117">
        <v>505</v>
      </c>
      <c r="J26" s="4">
        <v>211663</v>
      </c>
      <c r="K26" s="55"/>
      <c r="L26" s="80"/>
      <c r="M26" s="36">
        <f t="shared" si="8"/>
        <v>221638</v>
      </c>
      <c r="N26" s="37">
        <f t="shared" si="0"/>
        <v>222149</v>
      </c>
      <c r="O26" s="36">
        <v>13490</v>
      </c>
      <c r="P26" s="58"/>
      <c r="Q26" s="4">
        <v>107</v>
      </c>
      <c r="R26" s="4"/>
      <c r="S26" s="75">
        <f t="shared" si="12"/>
        <v>13597</v>
      </c>
      <c r="T26" s="36">
        <v>220</v>
      </c>
      <c r="U26" s="4">
        <v>163</v>
      </c>
      <c r="V26" s="4">
        <v>50</v>
      </c>
      <c r="W26" s="4"/>
      <c r="X26" s="9">
        <f t="shared" si="4"/>
        <v>433</v>
      </c>
      <c r="Y26" s="161">
        <f t="shared" si="9"/>
        <v>236179</v>
      </c>
      <c r="Z26" s="244">
        <f t="shared" si="6"/>
        <v>1.8373304818643176E-3</v>
      </c>
      <c r="AA26" s="1">
        <f t="shared" si="7"/>
        <v>544.26789838337186</v>
      </c>
      <c r="AB26" s="249">
        <f t="shared" si="1"/>
        <v>9.7615952221428472E-4</v>
      </c>
      <c r="AC26" s="249">
        <f t="shared" si="10"/>
        <v>1.7941662080352229E-2</v>
      </c>
      <c r="AD26" s="78">
        <f t="shared" si="11"/>
        <v>4.5085662759242563E-2</v>
      </c>
      <c r="AE26" s="253"/>
      <c r="AF26" s="173"/>
    </row>
    <row r="27" spans="1:36" x14ac:dyDescent="0.2">
      <c r="A27" s="351"/>
      <c r="B27" s="80" t="s">
        <v>47</v>
      </c>
      <c r="C27" s="95"/>
      <c r="D27" s="4">
        <v>557</v>
      </c>
      <c r="E27" s="203"/>
      <c r="F27" s="46">
        <v>557</v>
      </c>
      <c r="G27" s="27">
        <v>3219</v>
      </c>
      <c r="H27" s="55"/>
      <c r="I27" s="117">
        <v>467</v>
      </c>
      <c r="J27" s="4">
        <v>151249</v>
      </c>
      <c r="K27" s="55"/>
      <c r="L27" s="80"/>
      <c r="M27" s="36">
        <f t="shared" si="8"/>
        <v>155025</v>
      </c>
      <c r="N27" s="37">
        <f t="shared" si="0"/>
        <v>155492</v>
      </c>
      <c r="O27" s="36">
        <v>9235</v>
      </c>
      <c r="P27" s="58"/>
      <c r="Q27" s="4">
        <v>31</v>
      </c>
      <c r="R27" s="4"/>
      <c r="S27" s="75">
        <f t="shared" si="12"/>
        <v>9266</v>
      </c>
      <c r="T27" s="36">
        <v>98</v>
      </c>
      <c r="U27" s="4">
        <v>8</v>
      </c>
      <c r="V27" s="4">
        <v>1</v>
      </c>
      <c r="W27" s="4">
        <v>3</v>
      </c>
      <c r="X27" s="9">
        <f t="shared" si="4"/>
        <v>110</v>
      </c>
      <c r="Y27" s="161">
        <f t="shared" si="9"/>
        <v>164868</v>
      </c>
      <c r="Z27" s="244">
        <f t="shared" si="6"/>
        <v>6.6909568676589554E-4</v>
      </c>
      <c r="AA27" s="1">
        <f t="shared" si="7"/>
        <v>1494.5545454545456</v>
      </c>
      <c r="AB27" s="249">
        <f t="shared" si="1"/>
        <v>6.1028010611401031E-4</v>
      </c>
      <c r="AC27" s="249">
        <f t="shared" si="10"/>
        <v>2.4790827393864272E-3</v>
      </c>
      <c r="AD27" s="78">
        <f t="shared" si="11"/>
        <v>1.7921146953405018E-3</v>
      </c>
      <c r="AE27" s="253"/>
      <c r="AF27" s="173"/>
    </row>
    <row r="28" spans="1:36" x14ac:dyDescent="0.2">
      <c r="A28" s="352"/>
      <c r="B28" s="80" t="s">
        <v>48</v>
      </c>
      <c r="C28" s="95">
        <v>875</v>
      </c>
      <c r="D28" s="4">
        <v>-380</v>
      </c>
      <c r="E28" s="203"/>
      <c r="F28" s="46">
        <v>495</v>
      </c>
      <c r="G28" s="27">
        <f>9636</f>
        <v>9636</v>
      </c>
      <c r="H28" s="55"/>
      <c r="I28" s="117">
        <v>644</v>
      </c>
      <c r="J28" s="4">
        <v>108742</v>
      </c>
      <c r="K28" s="55"/>
      <c r="L28" s="80"/>
      <c r="M28" s="36">
        <f t="shared" si="8"/>
        <v>118873</v>
      </c>
      <c r="N28" s="37">
        <f t="shared" si="0"/>
        <v>119517</v>
      </c>
      <c r="O28" s="36">
        <v>8897</v>
      </c>
      <c r="P28" s="58"/>
      <c r="Q28" s="4">
        <v>13</v>
      </c>
      <c r="R28" s="4"/>
      <c r="S28" s="75">
        <f t="shared" si="12"/>
        <v>8910</v>
      </c>
      <c r="T28" s="36">
        <v>206</v>
      </c>
      <c r="U28" s="4">
        <v>8</v>
      </c>
      <c r="V28" s="4">
        <v>2</v>
      </c>
      <c r="W28" s="4">
        <v>38</v>
      </c>
      <c r="X28" s="9">
        <f t="shared" si="4"/>
        <v>254</v>
      </c>
      <c r="Y28" s="161">
        <f t="shared" si="9"/>
        <v>128681</v>
      </c>
      <c r="Z28" s="244">
        <f t="shared" si="6"/>
        <v>1.983801557362325E-3</v>
      </c>
      <c r="AA28" s="1">
        <f t="shared" si="7"/>
        <v>504.08267716535431</v>
      </c>
      <c r="AB28" s="249">
        <f t="shared" si="1"/>
        <v>1.7480588909160337E-3</v>
      </c>
      <c r="AC28" s="249">
        <f t="shared" si="10"/>
        <v>8.2953131480713392E-4</v>
      </c>
      <c r="AD28" s="78">
        <f t="shared" si="11"/>
        <v>-5.2910052910052907E-3</v>
      </c>
      <c r="AE28" s="253"/>
      <c r="AF28" s="173"/>
    </row>
    <row r="29" spans="1:36" s="3" customFormat="1" x14ac:dyDescent="0.2">
      <c r="A29" s="234"/>
      <c r="B29" s="81" t="s">
        <v>56</v>
      </c>
      <c r="C29" s="202">
        <v>875</v>
      </c>
      <c r="D29" s="60">
        <f>SUM(D17:D28)</f>
        <v>4440</v>
      </c>
      <c r="E29" s="204">
        <v>10977</v>
      </c>
      <c r="F29" s="205">
        <f>SUM(F17:F28)</f>
        <v>5315</v>
      </c>
      <c r="G29" s="44">
        <f>SUM(G17:G28)</f>
        <v>153842</v>
      </c>
      <c r="H29" s="59">
        <f>SUM(H23:H26)</f>
        <v>106</v>
      </c>
      <c r="I29" s="118">
        <f>SUM(I17:I28)</f>
        <v>3713</v>
      </c>
      <c r="J29" s="60">
        <f>SUM(J17:J28)</f>
        <v>853650</v>
      </c>
      <c r="K29" s="62"/>
      <c r="L29" s="99"/>
      <c r="M29" s="56">
        <f>F29+G29+H29+J29</f>
        <v>1012913</v>
      </c>
      <c r="N29" s="38">
        <f t="shared" si="0"/>
        <v>1027603</v>
      </c>
      <c r="O29" s="44">
        <f>SUM(O17:O28)</f>
        <v>91611</v>
      </c>
      <c r="P29" s="60"/>
      <c r="Q29" s="63">
        <v>1881</v>
      </c>
      <c r="R29" s="63"/>
      <c r="S29" s="85">
        <f t="shared" si="12"/>
        <v>93492</v>
      </c>
      <c r="T29" s="44">
        <f>SUM(T17:T28)</f>
        <v>804</v>
      </c>
      <c r="U29" s="60">
        <f>SUM(U17:U28)</f>
        <v>3149</v>
      </c>
      <c r="V29" s="60">
        <f>SUM(V17:V28)</f>
        <v>102</v>
      </c>
      <c r="W29" s="60">
        <f>SUM(W17:W28)</f>
        <v>82</v>
      </c>
      <c r="X29" s="41">
        <f t="shared" si="4"/>
        <v>4137</v>
      </c>
      <c r="Y29" s="162">
        <f t="shared" si="9"/>
        <v>1125232</v>
      </c>
      <c r="Z29" s="245">
        <f t="shared" si="6"/>
        <v>3.6887471366958561E-3</v>
      </c>
      <c r="AA29" s="114">
        <f t="shared" si="7"/>
        <v>271.09475465313028</v>
      </c>
      <c r="AB29" s="251">
        <f t="shared" si="1"/>
        <v>8.4983589922468328E-4</v>
      </c>
      <c r="AC29" s="251">
        <f>U29/(G29+H29+P29+Q29+U29)</f>
        <v>1.9807772144573462E-2</v>
      </c>
      <c r="AD29" s="251">
        <f t="shared" si="11"/>
        <v>6.5725884399768023E-3</v>
      </c>
      <c r="AE29" s="252">
        <f t="shared" ref="AE29:AE80" si="13">W29/(C29+W29)</f>
        <v>8.5684430512016713E-2</v>
      </c>
      <c r="AF29" s="172"/>
      <c r="AG29" s="70" t="s">
        <v>57</v>
      </c>
    </row>
    <row r="30" spans="1:36" x14ac:dyDescent="0.2">
      <c r="A30" s="343">
        <v>2016</v>
      </c>
      <c r="B30" s="206" t="s">
        <v>37</v>
      </c>
      <c r="C30" s="207"/>
      <c r="D30" s="4">
        <v>492</v>
      </c>
      <c r="E30" s="31"/>
      <c r="F30" s="4">
        <v>492</v>
      </c>
      <c r="G30" s="43">
        <v>5273</v>
      </c>
      <c r="H30" s="64"/>
      <c r="I30" s="119">
        <v>539</v>
      </c>
      <c r="J30" s="7">
        <v>67415</v>
      </c>
      <c r="K30" s="64"/>
      <c r="L30" s="100"/>
      <c r="M30" s="36">
        <f t="shared" ref="M30:M41" si="14">SUM(J30,G30,F30,K30)</f>
        <v>73180</v>
      </c>
      <c r="N30" s="37">
        <f t="shared" si="0"/>
        <v>73719</v>
      </c>
      <c r="O30" s="65">
        <v>5506</v>
      </c>
      <c r="P30" s="2">
        <v>349</v>
      </c>
      <c r="Q30" s="4">
        <v>0</v>
      </c>
      <c r="R30" s="7"/>
      <c r="S30" s="75">
        <f t="shared" si="12"/>
        <v>5855</v>
      </c>
      <c r="T30" s="43">
        <v>275</v>
      </c>
      <c r="U30" s="7">
        <v>90</v>
      </c>
      <c r="V30" s="4">
        <v>5</v>
      </c>
      <c r="W30" s="4"/>
      <c r="X30" s="9">
        <f t="shared" si="4"/>
        <v>370</v>
      </c>
      <c r="Y30" s="161">
        <f t="shared" si="9"/>
        <v>79944</v>
      </c>
      <c r="Z30" s="244">
        <f t="shared" si="6"/>
        <v>4.6596561929349535E-3</v>
      </c>
      <c r="AA30" s="1">
        <f t="shared" si="7"/>
        <v>214.60810810810813</v>
      </c>
      <c r="AB30" s="249">
        <f t="shared" si="1"/>
        <v>3.7570359036012899E-3</v>
      </c>
      <c r="AC30" s="249">
        <f t="shared" ref="AC30:AC41" si="15">U30/(G30+H30+P30+U30)</f>
        <v>1.5756302521008403E-2</v>
      </c>
      <c r="AD30" s="78">
        <f t="shared" si="11"/>
        <v>1.0060362173038229E-2</v>
      </c>
      <c r="AE30" s="253"/>
      <c r="AF30" s="173"/>
    </row>
    <row r="31" spans="1:36" x14ac:dyDescent="0.2">
      <c r="A31" s="344"/>
      <c r="B31" s="68" t="s">
        <v>38</v>
      </c>
      <c r="C31" s="207"/>
      <c r="D31" s="4">
        <v>222</v>
      </c>
      <c r="E31" s="31"/>
      <c r="F31" s="4">
        <v>222</v>
      </c>
      <c r="G31" s="27">
        <v>3828</v>
      </c>
      <c r="H31" s="46"/>
      <c r="I31" s="120">
        <v>474</v>
      </c>
      <c r="J31" s="4">
        <v>57066</v>
      </c>
      <c r="K31" s="46"/>
      <c r="L31" s="82"/>
      <c r="M31" s="36">
        <f t="shared" si="14"/>
        <v>61116</v>
      </c>
      <c r="N31" s="37">
        <f t="shared" si="0"/>
        <v>61590</v>
      </c>
      <c r="O31" s="36">
        <v>8747</v>
      </c>
      <c r="P31" s="2">
        <v>120</v>
      </c>
      <c r="Q31" s="4">
        <v>11</v>
      </c>
      <c r="R31" s="7"/>
      <c r="S31" s="75">
        <f t="shared" si="12"/>
        <v>8878</v>
      </c>
      <c r="T31" s="36">
        <v>46</v>
      </c>
      <c r="U31" s="4">
        <v>7</v>
      </c>
      <c r="V31" s="4">
        <v>2</v>
      </c>
      <c r="W31" s="4">
        <v>92</v>
      </c>
      <c r="X31" s="9">
        <f t="shared" si="4"/>
        <v>147</v>
      </c>
      <c r="Y31" s="161">
        <f t="shared" si="9"/>
        <v>70615</v>
      </c>
      <c r="Z31" s="244">
        <f t="shared" si="6"/>
        <v>2.0957785033004946E-3</v>
      </c>
      <c r="AA31" s="1">
        <f t="shared" si="7"/>
        <v>477.1496598639456</v>
      </c>
      <c r="AB31" s="249">
        <f t="shared" si="1"/>
        <v>6.9846186550053902E-4</v>
      </c>
      <c r="AC31" s="249">
        <f t="shared" si="15"/>
        <v>1.7699115044247787E-3</v>
      </c>
      <c r="AD31" s="78">
        <f t="shared" si="11"/>
        <v>8.9285714285714281E-3</v>
      </c>
      <c r="AE31" s="253"/>
      <c r="AF31" s="173"/>
    </row>
    <row r="32" spans="1:36" x14ac:dyDescent="0.2">
      <c r="A32" s="344"/>
      <c r="B32" s="68" t="s">
        <v>58</v>
      </c>
      <c r="C32" s="207"/>
      <c r="D32" s="4">
        <v>351</v>
      </c>
      <c r="E32" s="31"/>
      <c r="F32" s="4">
        <v>351</v>
      </c>
      <c r="G32" s="27">
        <v>9676</v>
      </c>
      <c r="H32" s="46"/>
      <c r="I32" s="120">
        <v>152</v>
      </c>
      <c r="J32" s="4">
        <v>26971</v>
      </c>
      <c r="K32" s="46">
        <v>28</v>
      </c>
      <c r="L32" s="82"/>
      <c r="M32" s="36">
        <f t="shared" si="14"/>
        <v>37026</v>
      </c>
      <c r="N32" s="37">
        <f t="shared" si="0"/>
        <v>37178</v>
      </c>
      <c r="O32" s="36">
        <v>8530</v>
      </c>
      <c r="P32" s="2">
        <v>2333</v>
      </c>
      <c r="Q32" s="4">
        <v>11</v>
      </c>
      <c r="R32" s="7"/>
      <c r="S32" s="75">
        <f t="shared" si="12"/>
        <v>10874</v>
      </c>
      <c r="T32" s="36">
        <v>45</v>
      </c>
      <c r="U32" s="4">
        <v>258</v>
      </c>
      <c r="V32" s="4">
        <v>21</v>
      </c>
      <c r="W32" s="4"/>
      <c r="X32" s="9">
        <f t="shared" si="4"/>
        <v>324</v>
      </c>
      <c r="Y32" s="161">
        <f t="shared" si="9"/>
        <v>48376</v>
      </c>
      <c r="Z32" s="244">
        <f t="shared" si="6"/>
        <v>6.7186463171864629E-3</v>
      </c>
      <c r="AA32" s="1">
        <f t="shared" si="7"/>
        <v>148.83950617283952</v>
      </c>
      <c r="AB32" s="249">
        <f t="shared" si="1"/>
        <v>1.2649687974363299E-3</v>
      </c>
      <c r="AC32" s="249">
        <f t="shared" si="15"/>
        <v>2.1032037172902911E-2</v>
      </c>
      <c r="AD32" s="78">
        <f t="shared" si="11"/>
        <v>5.6451612903225805E-2</v>
      </c>
      <c r="AE32" s="253"/>
      <c r="AF32" s="173"/>
    </row>
    <row r="33" spans="1:36" x14ac:dyDescent="0.2">
      <c r="A33" s="344"/>
      <c r="B33" s="68" t="s">
        <v>59</v>
      </c>
      <c r="C33" s="207"/>
      <c r="D33" s="4">
        <v>451</v>
      </c>
      <c r="E33" s="31"/>
      <c r="F33" s="4">
        <v>451</v>
      </c>
      <c r="G33" s="27">
        <v>9149</v>
      </c>
      <c r="H33" s="46"/>
      <c r="I33" s="120">
        <v>284</v>
      </c>
      <c r="J33" s="4">
        <v>3650</v>
      </c>
      <c r="K33" s="49"/>
      <c r="L33" s="101"/>
      <c r="M33" s="36">
        <f t="shared" si="14"/>
        <v>13250</v>
      </c>
      <c r="N33" s="37">
        <f t="shared" si="0"/>
        <v>13534</v>
      </c>
      <c r="O33" s="36">
        <v>1717</v>
      </c>
      <c r="P33" s="2">
        <v>880</v>
      </c>
      <c r="Q33" s="4">
        <v>23</v>
      </c>
      <c r="R33" s="7"/>
      <c r="S33" s="75">
        <f t="shared" si="12"/>
        <v>2620</v>
      </c>
      <c r="T33" s="39">
        <v>10</v>
      </c>
      <c r="U33" s="4">
        <v>611</v>
      </c>
      <c r="V33" s="4">
        <v>9</v>
      </c>
      <c r="W33" s="4"/>
      <c r="X33" s="9">
        <f t="shared" si="4"/>
        <v>630</v>
      </c>
      <c r="Y33" s="161">
        <f t="shared" si="9"/>
        <v>16784</v>
      </c>
      <c r="Z33" s="244">
        <f t="shared" si="6"/>
        <v>3.8181818181818185E-2</v>
      </c>
      <c r="AA33" s="1">
        <f t="shared" si="7"/>
        <v>26.19047619047619</v>
      </c>
      <c r="AB33" s="249">
        <f t="shared" si="1"/>
        <v>1.859773107680863E-3</v>
      </c>
      <c r="AC33" s="249">
        <f t="shared" si="15"/>
        <v>5.7424812030075191E-2</v>
      </c>
      <c r="AD33" s="78">
        <f t="shared" si="11"/>
        <v>1.9565217391304349E-2</v>
      </c>
      <c r="AE33" s="253"/>
      <c r="AF33" s="173"/>
      <c r="AG33" s="42" t="s">
        <v>60</v>
      </c>
      <c r="AH33" s="86"/>
      <c r="AI33" s="86"/>
      <c r="AJ33" s="6"/>
    </row>
    <row r="34" spans="1:36" x14ac:dyDescent="0.2">
      <c r="A34" s="344"/>
      <c r="B34" s="68" t="s">
        <v>41</v>
      </c>
      <c r="C34" s="207"/>
      <c r="D34" s="4">
        <v>575</v>
      </c>
      <c r="E34" s="31"/>
      <c r="F34" s="4">
        <v>575</v>
      </c>
      <c r="G34" s="27">
        <v>19925</v>
      </c>
      <c r="H34" s="46"/>
      <c r="I34" s="121">
        <v>189</v>
      </c>
      <c r="J34" s="36">
        <v>1721</v>
      </c>
      <c r="K34" s="49"/>
      <c r="L34" s="101"/>
      <c r="M34" s="36">
        <f t="shared" si="14"/>
        <v>22221</v>
      </c>
      <c r="N34" s="37">
        <f t="shared" si="0"/>
        <v>22410</v>
      </c>
      <c r="O34" s="36">
        <v>1109</v>
      </c>
      <c r="P34" s="2">
        <v>3688</v>
      </c>
      <c r="Q34" s="4">
        <v>148</v>
      </c>
      <c r="R34" s="7"/>
      <c r="S34" s="75">
        <f t="shared" si="12"/>
        <v>4945</v>
      </c>
      <c r="T34" s="36">
        <v>0</v>
      </c>
      <c r="U34" s="4">
        <v>1130</v>
      </c>
      <c r="V34" s="4">
        <v>48</v>
      </c>
      <c r="W34" s="4">
        <v>77</v>
      </c>
      <c r="X34" s="9">
        <f t="shared" si="4"/>
        <v>1255</v>
      </c>
      <c r="Y34" s="161">
        <f t="shared" si="9"/>
        <v>28610</v>
      </c>
      <c r="Z34" s="244">
        <f t="shared" si="6"/>
        <v>4.4157489180535518E-2</v>
      </c>
      <c r="AA34" s="1">
        <f t="shared" si="7"/>
        <v>22.64621513944223</v>
      </c>
      <c r="AB34" s="249">
        <f t="shared" si="1"/>
        <v>0</v>
      </c>
      <c r="AC34" s="249">
        <f t="shared" si="15"/>
        <v>4.5669482277815948E-2</v>
      </c>
      <c r="AD34" s="78">
        <f t="shared" si="11"/>
        <v>7.7046548956661312E-2</v>
      </c>
      <c r="AE34" s="253"/>
      <c r="AF34" s="173"/>
      <c r="AG34" s="87" t="s">
        <v>52</v>
      </c>
      <c r="AH34" t="s">
        <v>53</v>
      </c>
      <c r="AI34" t="s">
        <v>54</v>
      </c>
      <c r="AJ34" s="88" t="s">
        <v>55</v>
      </c>
    </row>
    <row r="35" spans="1:36" x14ac:dyDescent="0.2">
      <c r="A35" s="344"/>
      <c r="B35" s="5" t="s">
        <v>42</v>
      </c>
      <c r="C35" s="95"/>
      <c r="D35" s="4">
        <v>715</v>
      </c>
      <c r="E35" s="31"/>
      <c r="F35" s="4">
        <v>715</v>
      </c>
      <c r="G35" s="27">
        <v>22371</v>
      </c>
      <c r="H35" s="46"/>
      <c r="I35" s="121">
        <v>100</v>
      </c>
      <c r="J35" s="36">
        <v>1554</v>
      </c>
      <c r="K35" s="49"/>
      <c r="L35" s="101"/>
      <c r="M35" s="36">
        <f t="shared" si="14"/>
        <v>24640</v>
      </c>
      <c r="N35" s="37">
        <f t="shared" si="0"/>
        <v>24740</v>
      </c>
      <c r="O35" s="36">
        <v>538</v>
      </c>
      <c r="P35" s="2">
        <v>1769</v>
      </c>
      <c r="Q35" s="4">
        <v>72</v>
      </c>
      <c r="R35" s="7"/>
      <c r="S35" s="75">
        <f t="shared" si="12"/>
        <v>2379</v>
      </c>
      <c r="T35" s="36">
        <v>0</v>
      </c>
      <c r="U35" s="4">
        <v>388</v>
      </c>
      <c r="V35" s="4">
        <v>1</v>
      </c>
      <c r="W35" s="4"/>
      <c r="X35" s="9">
        <f t="shared" si="4"/>
        <v>389</v>
      </c>
      <c r="Y35" s="161">
        <f t="shared" si="9"/>
        <v>27508</v>
      </c>
      <c r="Z35" s="244">
        <f t="shared" si="6"/>
        <v>1.4192936368943374E-2</v>
      </c>
      <c r="AA35" s="1">
        <f t="shared" si="7"/>
        <v>70.457583547557846</v>
      </c>
      <c r="AB35" s="249">
        <f t="shared" si="1"/>
        <v>0</v>
      </c>
      <c r="AC35" s="249">
        <f t="shared" si="15"/>
        <v>1.5818656229615133E-2</v>
      </c>
      <c r="AD35" s="78">
        <f t="shared" si="11"/>
        <v>1.3966480446927375E-3</v>
      </c>
      <c r="AE35" s="253"/>
      <c r="AF35" s="173"/>
      <c r="AG35" s="89">
        <f>SUM(T30:T35)/SUM(T30:T35,O30:O35,J30:J35)</f>
        <v>2.0335316387236342E-3</v>
      </c>
      <c r="AH35" s="90">
        <f>SUM(U30:U35)/SUM(U30:U35,P30:Q35,G30:H35)</f>
        <v>3.0252100840336135E-2</v>
      </c>
      <c r="AI35" s="90">
        <f>SUM(V30:V35)/SUM(V30:V35,F30:F35)</f>
        <v>2.9737206085753802E-2</v>
      </c>
      <c r="AJ35" s="91">
        <f>SUM(X30:X35)/SUM(X30:X35,S30:S35,N30:N35)</f>
        <v>1.1459072900304226E-2</v>
      </c>
    </row>
    <row r="36" spans="1:36" x14ac:dyDescent="0.2">
      <c r="A36" s="344"/>
      <c r="B36" s="5" t="s">
        <v>43</v>
      </c>
      <c r="C36" s="95"/>
      <c r="D36" s="4">
        <v>458</v>
      </c>
      <c r="E36" s="31"/>
      <c r="F36" s="4">
        <v>458</v>
      </c>
      <c r="G36" s="27">
        <v>23552</v>
      </c>
      <c r="H36" s="46"/>
      <c r="I36" s="121">
        <v>127</v>
      </c>
      <c r="J36" s="36">
        <v>1920</v>
      </c>
      <c r="K36" s="49"/>
      <c r="L36" s="101"/>
      <c r="M36" s="36">
        <f t="shared" si="14"/>
        <v>25930</v>
      </c>
      <c r="N36" s="37">
        <f t="shared" si="0"/>
        <v>26057</v>
      </c>
      <c r="O36" s="36">
        <v>881</v>
      </c>
      <c r="P36" s="2">
        <v>739</v>
      </c>
      <c r="Q36" s="4">
        <v>39</v>
      </c>
      <c r="R36" s="7"/>
      <c r="S36" s="75">
        <f t="shared" si="12"/>
        <v>1659</v>
      </c>
      <c r="T36" s="36">
        <v>7</v>
      </c>
      <c r="U36" s="4">
        <v>208</v>
      </c>
      <c r="V36" s="4">
        <v>11</v>
      </c>
      <c r="W36" s="4"/>
      <c r="X36" s="9">
        <f t="shared" si="4"/>
        <v>226</v>
      </c>
      <c r="Y36" s="161">
        <f t="shared" si="9"/>
        <v>27942</v>
      </c>
      <c r="Z36" s="244">
        <f t="shared" ref="Z36:Z67" si="16">X36/SUM(X36+M36+E36+S36)</f>
        <v>8.1251123494517352E-3</v>
      </c>
      <c r="AA36" s="1">
        <f t="shared" si="7"/>
        <v>123.07522123893804</v>
      </c>
      <c r="AB36" s="249">
        <f t="shared" si="1"/>
        <v>2.4928774928774928E-3</v>
      </c>
      <c r="AC36" s="249">
        <f t="shared" si="15"/>
        <v>8.4901424547940731E-3</v>
      </c>
      <c r="AD36" s="78">
        <f t="shared" si="11"/>
        <v>2.3454157782515993E-2</v>
      </c>
      <c r="AE36" s="253"/>
      <c r="AF36" s="173"/>
    </row>
    <row r="37" spans="1:36" x14ac:dyDescent="0.2">
      <c r="A37" s="344"/>
      <c r="B37" s="5" t="s">
        <v>44</v>
      </c>
      <c r="C37" s="95"/>
      <c r="D37" s="4">
        <v>934</v>
      </c>
      <c r="E37" s="31"/>
      <c r="F37" s="4">
        <v>934</v>
      </c>
      <c r="G37" s="27">
        <v>21294</v>
      </c>
      <c r="H37" s="46"/>
      <c r="I37" s="121">
        <v>249</v>
      </c>
      <c r="J37" s="36">
        <v>3540</v>
      </c>
      <c r="K37" s="46">
        <v>23</v>
      </c>
      <c r="L37" s="82"/>
      <c r="M37" s="36">
        <f t="shared" si="14"/>
        <v>25791</v>
      </c>
      <c r="N37" s="37">
        <f t="shared" si="0"/>
        <v>26040</v>
      </c>
      <c r="O37" s="36">
        <v>1603</v>
      </c>
      <c r="P37" s="2">
        <v>213</v>
      </c>
      <c r="Q37" s="4">
        <v>118</v>
      </c>
      <c r="R37" s="7"/>
      <c r="S37" s="75">
        <f t="shared" si="12"/>
        <v>1934</v>
      </c>
      <c r="T37" s="36">
        <v>3</v>
      </c>
      <c r="U37" s="4">
        <v>40</v>
      </c>
      <c r="V37" s="4">
        <v>19</v>
      </c>
      <c r="W37" s="4"/>
      <c r="X37" s="9">
        <f t="shared" si="4"/>
        <v>62</v>
      </c>
      <c r="Y37" s="163">
        <f t="shared" si="9"/>
        <v>28036</v>
      </c>
      <c r="Z37" s="244">
        <f t="shared" si="16"/>
        <v>2.2312592219383164E-3</v>
      </c>
      <c r="AA37" s="1">
        <f t="shared" si="7"/>
        <v>448.17741935483872</v>
      </c>
      <c r="AB37" s="254">
        <f t="shared" si="1"/>
        <v>5.8038305281485781E-4</v>
      </c>
      <c r="AC37" s="254">
        <f t="shared" si="15"/>
        <v>1.8564069243978279E-3</v>
      </c>
      <c r="AD37" s="78">
        <f t="shared" si="11"/>
        <v>1.993704092339979E-2</v>
      </c>
      <c r="AE37" s="253"/>
      <c r="AF37" s="173"/>
    </row>
    <row r="38" spans="1:36" x14ac:dyDescent="0.2">
      <c r="A38" s="344"/>
      <c r="B38" s="5" t="s">
        <v>45</v>
      </c>
      <c r="C38" s="95"/>
      <c r="D38" s="4">
        <v>1248</v>
      </c>
      <c r="E38" s="31"/>
      <c r="F38" s="4">
        <v>1248</v>
      </c>
      <c r="G38" s="27">
        <v>16975</v>
      </c>
      <c r="H38" s="46"/>
      <c r="I38" s="121">
        <v>204</v>
      </c>
      <c r="J38" s="36">
        <v>3052</v>
      </c>
      <c r="K38" s="46">
        <v>55</v>
      </c>
      <c r="L38" s="82"/>
      <c r="M38" s="36">
        <f>SUM(J38,G38,F38,K38)</f>
        <v>21330</v>
      </c>
      <c r="N38" s="37">
        <f t="shared" si="0"/>
        <v>21534</v>
      </c>
      <c r="O38" s="36">
        <v>3425</v>
      </c>
      <c r="P38" s="2">
        <v>1180</v>
      </c>
      <c r="Q38" s="4">
        <v>244</v>
      </c>
      <c r="R38" s="7"/>
      <c r="S38" s="75">
        <f t="shared" si="12"/>
        <v>4849</v>
      </c>
      <c r="T38" s="36">
        <v>27</v>
      </c>
      <c r="U38" s="4">
        <v>341</v>
      </c>
      <c r="V38" s="4">
        <v>0</v>
      </c>
      <c r="W38" s="4"/>
      <c r="X38" s="9">
        <f t="shared" si="4"/>
        <v>368</v>
      </c>
      <c r="Y38" s="161">
        <f t="shared" si="9"/>
        <v>26751</v>
      </c>
      <c r="Z38" s="244">
        <f t="shared" si="16"/>
        <v>1.3862206652352431E-2</v>
      </c>
      <c r="AA38" s="1">
        <f t="shared" si="7"/>
        <v>72.138586956521749</v>
      </c>
      <c r="AB38" s="249">
        <f t="shared" si="1"/>
        <v>4.1164811709102E-3</v>
      </c>
      <c r="AC38" s="249">
        <f t="shared" si="15"/>
        <v>1.8436418685121109E-2</v>
      </c>
      <c r="AD38" s="78">
        <f t="shared" si="11"/>
        <v>0</v>
      </c>
      <c r="AE38" s="253"/>
      <c r="AF38" s="173"/>
    </row>
    <row r="39" spans="1:36" x14ac:dyDescent="0.2">
      <c r="A39" s="344"/>
      <c r="B39" s="5" t="s">
        <v>46</v>
      </c>
      <c r="C39" s="95"/>
      <c r="D39" s="4">
        <v>1110</v>
      </c>
      <c r="E39" s="31"/>
      <c r="F39" s="4">
        <v>1110</v>
      </c>
      <c r="G39" s="27">
        <v>27384</v>
      </c>
      <c r="H39" s="46"/>
      <c r="I39" s="121">
        <v>492</v>
      </c>
      <c r="J39" s="36">
        <v>3078</v>
      </c>
      <c r="K39" s="46">
        <v>83</v>
      </c>
      <c r="L39" s="82"/>
      <c r="M39" s="36">
        <f t="shared" si="14"/>
        <v>31655</v>
      </c>
      <c r="N39" s="37">
        <f t="shared" si="0"/>
        <v>32147</v>
      </c>
      <c r="O39" s="36">
        <v>2437</v>
      </c>
      <c r="P39" s="2">
        <v>1504</v>
      </c>
      <c r="Q39" s="4">
        <v>159</v>
      </c>
      <c r="R39" s="7"/>
      <c r="S39" s="75">
        <f t="shared" si="12"/>
        <v>4100</v>
      </c>
      <c r="T39" s="36">
        <v>2</v>
      </c>
      <c r="U39" s="4">
        <v>431</v>
      </c>
      <c r="V39" s="4">
        <v>4</v>
      </c>
      <c r="W39" s="4"/>
      <c r="X39" s="9">
        <f t="shared" si="4"/>
        <v>437</v>
      </c>
      <c r="Y39" s="161">
        <f t="shared" si="9"/>
        <v>36684</v>
      </c>
      <c r="Z39" s="244">
        <f t="shared" si="16"/>
        <v>1.2074491600353669E-2</v>
      </c>
      <c r="AA39" s="1">
        <f t="shared" si="7"/>
        <v>82.819221967963387</v>
      </c>
      <c r="AB39" s="249">
        <f t="shared" si="1"/>
        <v>3.5714285714285714E-4</v>
      </c>
      <c r="AC39" s="249">
        <f t="shared" si="15"/>
        <v>1.4700364951055629E-2</v>
      </c>
      <c r="AD39" s="78">
        <f t="shared" si="11"/>
        <v>3.5906642728904849E-3</v>
      </c>
      <c r="AE39" s="253"/>
      <c r="AF39" s="173"/>
    </row>
    <row r="40" spans="1:36" x14ac:dyDescent="0.2">
      <c r="A40" s="344"/>
      <c r="B40" s="5" t="s">
        <v>47</v>
      </c>
      <c r="C40" s="95"/>
      <c r="D40" s="4">
        <v>854</v>
      </c>
      <c r="E40" s="31"/>
      <c r="F40" s="4">
        <v>854</v>
      </c>
      <c r="G40" s="27">
        <v>13962</v>
      </c>
      <c r="H40" s="46"/>
      <c r="I40" s="121">
        <v>283</v>
      </c>
      <c r="J40" s="36">
        <v>1932</v>
      </c>
      <c r="K40" s="46">
        <v>129</v>
      </c>
      <c r="L40" s="82"/>
      <c r="M40" s="36">
        <f t="shared" si="14"/>
        <v>16877</v>
      </c>
      <c r="N40" s="37">
        <f t="shared" si="0"/>
        <v>17160</v>
      </c>
      <c r="O40" s="36">
        <v>1856</v>
      </c>
      <c r="P40" s="2">
        <v>1116</v>
      </c>
      <c r="Q40" s="4">
        <v>169</v>
      </c>
      <c r="R40" s="7"/>
      <c r="S40" s="75">
        <f t="shared" si="12"/>
        <v>3141</v>
      </c>
      <c r="T40" s="36">
        <v>14</v>
      </c>
      <c r="U40" s="4">
        <v>703</v>
      </c>
      <c r="V40" s="4">
        <v>1</v>
      </c>
      <c r="W40" s="4"/>
      <c r="X40" s="9">
        <f t="shared" si="4"/>
        <v>718</v>
      </c>
      <c r="Y40" s="161">
        <f t="shared" si="9"/>
        <v>21019</v>
      </c>
      <c r="Z40" s="244">
        <f t="shared" si="16"/>
        <v>3.4625771604938273E-2</v>
      </c>
      <c r="AA40" s="1">
        <f t="shared" si="7"/>
        <v>28.880222841225624</v>
      </c>
      <c r="AB40" s="249">
        <f t="shared" si="1"/>
        <v>3.5614347494276268E-3</v>
      </c>
      <c r="AC40" s="249">
        <f t="shared" si="15"/>
        <v>4.4547240352322416E-2</v>
      </c>
      <c r="AD40" s="78">
        <f t="shared" si="11"/>
        <v>1.1695906432748538E-3</v>
      </c>
      <c r="AE40" s="253"/>
      <c r="AF40" s="173"/>
    </row>
    <row r="41" spans="1:36" x14ac:dyDescent="0.2">
      <c r="A41" s="345"/>
      <c r="B41" s="5" t="s">
        <v>48</v>
      </c>
      <c r="C41" s="95">
        <v>672</v>
      </c>
      <c r="D41" s="4">
        <v>80</v>
      </c>
      <c r="E41" s="208"/>
      <c r="F41" s="4">
        <v>752</v>
      </c>
      <c r="G41" s="27">
        <v>8047</v>
      </c>
      <c r="H41" s="46">
        <v>24</v>
      </c>
      <c r="I41" s="121">
        <v>199</v>
      </c>
      <c r="J41" s="36">
        <v>1715</v>
      </c>
      <c r="K41" s="46">
        <v>27</v>
      </c>
      <c r="L41" s="82"/>
      <c r="M41" s="36">
        <f t="shared" si="14"/>
        <v>10541</v>
      </c>
      <c r="N41" s="37">
        <f t="shared" si="0"/>
        <v>10764</v>
      </c>
      <c r="O41" s="36">
        <v>781</v>
      </c>
      <c r="P41" s="2">
        <v>441</v>
      </c>
      <c r="Q41" s="4">
        <v>111</v>
      </c>
      <c r="R41" s="7"/>
      <c r="S41" s="75">
        <f t="shared" si="12"/>
        <v>1333</v>
      </c>
      <c r="T41" s="36">
        <v>5</v>
      </c>
      <c r="U41" s="4">
        <v>367</v>
      </c>
      <c r="V41" s="4">
        <v>7</v>
      </c>
      <c r="W41" s="4"/>
      <c r="X41" s="9">
        <f t="shared" si="4"/>
        <v>379</v>
      </c>
      <c r="Y41" s="161">
        <f t="shared" si="9"/>
        <v>12476</v>
      </c>
      <c r="Z41" s="244">
        <f t="shared" si="16"/>
        <v>3.0931200522321064E-2</v>
      </c>
      <c r="AA41" s="1">
        <f t="shared" si="7"/>
        <v>32.329815303430081</v>
      </c>
      <c r="AB41" s="249">
        <f t="shared" si="1"/>
        <v>1.9778481012658229E-3</v>
      </c>
      <c r="AC41" s="249">
        <f t="shared" si="15"/>
        <v>4.1333483500394189E-2</v>
      </c>
      <c r="AD41" s="78">
        <f t="shared" si="11"/>
        <v>8.0459770114942528E-2</v>
      </c>
      <c r="AE41" s="253"/>
      <c r="AF41" s="173"/>
    </row>
    <row r="42" spans="1:36" s="3" customFormat="1" ht="15.75" customHeight="1" x14ac:dyDescent="0.2">
      <c r="A42" s="235"/>
      <c r="B42" s="209" t="s">
        <v>61</v>
      </c>
      <c r="C42" s="202">
        <v>672</v>
      </c>
      <c r="D42" s="60">
        <f>SUM(D30:D41)</f>
        <v>7490</v>
      </c>
      <c r="E42" s="210">
        <v>5916</v>
      </c>
      <c r="F42" s="205">
        <f t="shared" ref="F42:K42" si="17">SUM(F30:F41)</f>
        <v>8162</v>
      </c>
      <c r="G42" s="44">
        <f t="shared" si="17"/>
        <v>181436</v>
      </c>
      <c r="H42" s="59">
        <f t="shared" si="17"/>
        <v>24</v>
      </c>
      <c r="I42" s="122">
        <f t="shared" si="17"/>
        <v>3292</v>
      </c>
      <c r="J42" s="44">
        <f t="shared" si="17"/>
        <v>173614</v>
      </c>
      <c r="K42" s="44">
        <f t="shared" si="17"/>
        <v>345</v>
      </c>
      <c r="L42" s="44"/>
      <c r="M42" s="29">
        <f>SUM(M30:M41)</f>
        <v>363557</v>
      </c>
      <c r="N42" s="38">
        <f t="shared" si="0"/>
        <v>372789</v>
      </c>
      <c r="O42" s="44">
        <f>SUM(O30:O41)</f>
        <v>37130</v>
      </c>
      <c r="P42" s="60">
        <f>SUM(P30:P41)</f>
        <v>14332</v>
      </c>
      <c r="Q42" s="63">
        <v>1035</v>
      </c>
      <c r="R42" s="175"/>
      <c r="S42" s="85">
        <f t="shared" si="12"/>
        <v>52497</v>
      </c>
      <c r="T42" s="44">
        <f>SUM(T30:T41)</f>
        <v>434</v>
      </c>
      <c r="U42" s="60">
        <f t="shared" ref="U42:W42" si="18">SUM(U30:U41)</f>
        <v>4574</v>
      </c>
      <c r="V42" s="60">
        <f t="shared" si="18"/>
        <v>128</v>
      </c>
      <c r="W42" s="60">
        <f t="shared" si="18"/>
        <v>169</v>
      </c>
      <c r="X42" s="41">
        <f t="shared" si="4"/>
        <v>5305</v>
      </c>
      <c r="Y42" s="162">
        <f t="shared" si="9"/>
        <v>430591</v>
      </c>
      <c r="Z42" s="245">
        <f t="shared" si="16"/>
        <v>1.2415891404832954E-2</v>
      </c>
      <c r="AA42" s="114">
        <f t="shared" si="7"/>
        <v>80.541941564561725</v>
      </c>
      <c r="AB42" s="251">
        <f t="shared" si="1"/>
        <v>2.0517863305645249E-3</v>
      </c>
      <c r="AC42" s="251">
        <f t="shared" ref="AC42:AC105" si="19">U42/(G42+H42+P42+U42+Q42)</f>
        <v>2.271091007492515E-2</v>
      </c>
      <c r="AD42" s="251">
        <f t="shared" si="11"/>
        <v>9.4576621841288601E-3</v>
      </c>
      <c r="AE42" s="252">
        <f t="shared" si="13"/>
        <v>0.20095124851367419</v>
      </c>
      <c r="AF42" s="172"/>
      <c r="AG42" s="70" t="s">
        <v>62</v>
      </c>
      <c r="AH42" s="22"/>
      <c r="AI42" s="23"/>
    </row>
    <row r="43" spans="1:36" x14ac:dyDescent="0.2">
      <c r="A43" s="343">
        <v>2017</v>
      </c>
      <c r="B43" s="68" t="s">
        <v>37</v>
      </c>
      <c r="C43" s="4">
        <v>13</v>
      </c>
      <c r="D43" s="4">
        <v>1000</v>
      </c>
      <c r="E43" s="4">
        <v>307</v>
      </c>
      <c r="F43" s="55">
        <f>SUM(C43:D43)</f>
        <v>1013</v>
      </c>
      <c r="G43" s="27">
        <v>4468</v>
      </c>
      <c r="H43" s="55"/>
      <c r="I43" s="123">
        <v>130</v>
      </c>
      <c r="J43" s="33">
        <v>1390</v>
      </c>
      <c r="K43" s="55">
        <v>0</v>
      </c>
      <c r="L43" s="80"/>
      <c r="M43" s="36">
        <f t="shared" ref="M43:M54" si="20">SUM(J43,G43,F43,K43)</f>
        <v>6871</v>
      </c>
      <c r="N43" s="37">
        <f t="shared" si="0"/>
        <v>7308</v>
      </c>
      <c r="O43" s="34">
        <v>381</v>
      </c>
      <c r="P43" s="179">
        <v>699</v>
      </c>
      <c r="Q43" s="2">
        <v>87</v>
      </c>
      <c r="R43" s="2"/>
      <c r="S43" s="75">
        <f t="shared" si="12"/>
        <v>1167</v>
      </c>
      <c r="T43" s="27">
        <v>1</v>
      </c>
      <c r="U43" s="4">
        <v>225</v>
      </c>
      <c r="V43" s="4">
        <v>28</v>
      </c>
      <c r="W43" s="4"/>
      <c r="X43" s="9">
        <f t="shared" si="4"/>
        <v>254</v>
      </c>
      <c r="Y43" s="161">
        <f t="shared" si="9"/>
        <v>8729</v>
      </c>
      <c r="Z43" s="244">
        <f t="shared" si="16"/>
        <v>2.9538318409117338E-2</v>
      </c>
      <c r="AA43" s="1">
        <f t="shared" si="7"/>
        <v>33.854330708661422</v>
      </c>
      <c r="AB43" s="249">
        <f t="shared" si="1"/>
        <v>5.6433408577878099E-4</v>
      </c>
      <c r="AC43" s="249">
        <f t="shared" si="19"/>
        <v>4.1065887935754698E-2</v>
      </c>
      <c r="AD43" s="78">
        <f t="shared" si="11"/>
        <v>2.0973782771535582E-2</v>
      </c>
      <c r="AE43" s="253"/>
      <c r="AF43" s="173"/>
      <c r="AI43" s="24"/>
    </row>
    <row r="44" spans="1:36" x14ac:dyDescent="0.2">
      <c r="A44" s="344"/>
      <c r="B44" s="68" t="s">
        <v>38</v>
      </c>
      <c r="C44" s="4">
        <v>61</v>
      </c>
      <c r="D44" s="4">
        <v>510</v>
      </c>
      <c r="E44" s="4">
        <v>1210</v>
      </c>
      <c r="F44" s="55">
        <f t="shared" ref="F44:F54" si="21">SUM(C44:D44)</f>
        <v>571</v>
      </c>
      <c r="G44" s="27">
        <v>8972</v>
      </c>
      <c r="H44" s="55"/>
      <c r="I44" s="123">
        <v>161</v>
      </c>
      <c r="J44" s="33">
        <v>1024</v>
      </c>
      <c r="K44" s="55">
        <v>96</v>
      </c>
      <c r="L44" s="80"/>
      <c r="M44" s="36">
        <f>SUM(J44,G44,F44,K44)</f>
        <v>10663</v>
      </c>
      <c r="N44" s="37">
        <f t="shared" si="0"/>
        <v>12034</v>
      </c>
      <c r="O44" s="35">
        <v>659</v>
      </c>
      <c r="P44" s="179">
        <v>952</v>
      </c>
      <c r="Q44" s="2">
        <v>30</v>
      </c>
      <c r="R44" s="2"/>
      <c r="S44" s="75">
        <f t="shared" si="12"/>
        <v>1641</v>
      </c>
      <c r="T44" s="36">
        <v>1</v>
      </c>
      <c r="U44" s="4">
        <v>217</v>
      </c>
      <c r="V44" s="4">
        <v>13</v>
      </c>
      <c r="W44" s="4"/>
      <c r="X44" s="9">
        <f t="shared" si="4"/>
        <v>231</v>
      </c>
      <c r="Y44" s="161">
        <f t="shared" si="9"/>
        <v>13906</v>
      </c>
      <c r="Z44" s="244">
        <f t="shared" si="16"/>
        <v>1.6806111313204801E-2</v>
      </c>
      <c r="AA44" s="1">
        <f t="shared" si="7"/>
        <v>59.502164502164504</v>
      </c>
      <c r="AB44" s="249">
        <f t="shared" si="1"/>
        <v>5.6179775280898881E-4</v>
      </c>
      <c r="AC44" s="249">
        <f t="shared" si="19"/>
        <v>2.1335168616655197E-2</v>
      </c>
      <c r="AD44" s="78">
        <f t="shared" si="11"/>
        <v>7.5014425851125215E-3</v>
      </c>
      <c r="AE44" s="253"/>
      <c r="AF44" s="173"/>
      <c r="AG44" s="78"/>
      <c r="AI44" s="24"/>
    </row>
    <row r="45" spans="1:36" x14ac:dyDescent="0.2">
      <c r="A45" s="344"/>
      <c r="B45" s="68" t="s">
        <v>58</v>
      </c>
      <c r="C45" s="4"/>
      <c r="D45" s="4">
        <v>944</v>
      </c>
      <c r="E45" s="4">
        <v>386</v>
      </c>
      <c r="F45" s="55">
        <f t="shared" si="21"/>
        <v>944</v>
      </c>
      <c r="G45" s="27">
        <v>10853</v>
      </c>
      <c r="H45" s="55"/>
      <c r="I45" s="123">
        <v>148</v>
      </c>
      <c r="J45" s="33">
        <v>1554</v>
      </c>
      <c r="K45" s="55">
        <v>154</v>
      </c>
      <c r="L45" s="80"/>
      <c r="M45" s="36">
        <f t="shared" si="20"/>
        <v>13505</v>
      </c>
      <c r="N45" s="37">
        <f t="shared" si="0"/>
        <v>14039</v>
      </c>
      <c r="O45" s="35">
        <v>1284</v>
      </c>
      <c r="P45" s="179">
        <v>1493</v>
      </c>
      <c r="Q45" s="2">
        <v>85</v>
      </c>
      <c r="R45" s="2"/>
      <c r="S45" s="75">
        <f t="shared" si="12"/>
        <v>2862</v>
      </c>
      <c r="T45" s="36">
        <v>11</v>
      </c>
      <c r="U45" s="4">
        <v>300</v>
      </c>
      <c r="V45" s="4">
        <v>7</v>
      </c>
      <c r="W45" s="4"/>
      <c r="X45" s="9">
        <f t="shared" si="4"/>
        <v>318</v>
      </c>
      <c r="Y45" s="161">
        <f t="shared" si="9"/>
        <v>17219</v>
      </c>
      <c r="Z45" s="244">
        <f t="shared" si="16"/>
        <v>1.8628082713373559E-2</v>
      </c>
      <c r="AA45" s="1">
        <f t="shared" si="7"/>
        <v>53.682389937106912</v>
      </c>
      <c r="AB45" s="249">
        <f t="shared" si="1"/>
        <v>3.663003663003663E-3</v>
      </c>
      <c r="AC45" s="249">
        <f t="shared" si="19"/>
        <v>2.3564527531222998E-2</v>
      </c>
      <c r="AD45" s="78">
        <f t="shared" si="11"/>
        <v>5.235602094240838E-3</v>
      </c>
      <c r="AE45" s="253"/>
      <c r="AF45" s="173"/>
      <c r="AI45" s="24"/>
    </row>
    <row r="46" spans="1:36" x14ac:dyDescent="0.2">
      <c r="A46" s="344"/>
      <c r="B46" s="68" t="s">
        <v>59</v>
      </c>
      <c r="C46" s="4">
        <v>39</v>
      </c>
      <c r="D46" s="4">
        <v>779</v>
      </c>
      <c r="E46" s="4">
        <v>282</v>
      </c>
      <c r="F46" s="55">
        <f t="shared" si="21"/>
        <v>818</v>
      </c>
      <c r="G46" s="27">
        <v>12943</v>
      </c>
      <c r="H46" s="55"/>
      <c r="I46" s="123">
        <v>194</v>
      </c>
      <c r="J46" s="33">
        <v>1170</v>
      </c>
      <c r="K46" s="55">
        <v>23</v>
      </c>
      <c r="L46" s="80"/>
      <c r="M46" s="36">
        <f t="shared" si="20"/>
        <v>14954</v>
      </c>
      <c r="N46" s="37">
        <f t="shared" si="0"/>
        <v>15430</v>
      </c>
      <c r="O46" s="35">
        <v>1457</v>
      </c>
      <c r="P46" s="179">
        <v>443</v>
      </c>
      <c r="Q46" s="367">
        <f>564-SUM(Q43:Q45)</f>
        <v>362</v>
      </c>
      <c r="R46" s="176"/>
      <c r="S46" s="75">
        <f t="shared" si="12"/>
        <v>2262</v>
      </c>
      <c r="T46" s="36">
        <v>24</v>
      </c>
      <c r="U46" s="4">
        <v>280</v>
      </c>
      <c r="V46" s="4">
        <v>9</v>
      </c>
      <c r="W46" s="4"/>
      <c r="X46" s="9">
        <f t="shared" si="4"/>
        <v>313</v>
      </c>
      <c r="Y46" s="161">
        <f t="shared" si="9"/>
        <v>18005</v>
      </c>
      <c r="Z46" s="244">
        <f t="shared" si="16"/>
        <v>1.7573409690640616E-2</v>
      </c>
      <c r="AA46" s="1">
        <f t="shared" si="7"/>
        <v>56.904153354632584</v>
      </c>
      <c r="AB46" s="254">
        <f t="shared" si="1"/>
        <v>8.9753178758414359E-3</v>
      </c>
      <c r="AC46" s="254">
        <f t="shared" si="19"/>
        <v>1.9960079840319361E-2</v>
      </c>
      <c r="AD46" s="78">
        <f t="shared" si="11"/>
        <v>8.4112149532710283E-3</v>
      </c>
      <c r="AE46" s="253"/>
      <c r="AF46" s="173"/>
      <c r="AG46" s="42" t="s">
        <v>63</v>
      </c>
      <c r="AH46" s="86"/>
      <c r="AI46" s="86"/>
      <c r="AJ46" s="6"/>
    </row>
    <row r="47" spans="1:36" x14ac:dyDescent="0.2">
      <c r="A47" s="344"/>
      <c r="B47" s="68" t="s">
        <v>41</v>
      </c>
      <c r="C47" s="4"/>
      <c r="D47" s="4">
        <v>860</v>
      </c>
      <c r="E47" s="4">
        <v>461</v>
      </c>
      <c r="F47" s="55">
        <f t="shared" si="21"/>
        <v>860</v>
      </c>
      <c r="G47" s="27">
        <v>22993</v>
      </c>
      <c r="H47" s="55"/>
      <c r="I47" s="123">
        <v>171</v>
      </c>
      <c r="J47" s="33">
        <v>2075</v>
      </c>
      <c r="K47" s="55">
        <v>0</v>
      </c>
      <c r="L47" s="80"/>
      <c r="M47" s="36">
        <f t="shared" si="20"/>
        <v>25928</v>
      </c>
      <c r="N47" s="37">
        <f t="shared" si="0"/>
        <v>26560</v>
      </c>
      <c r="O47" s="35">
        <v>1218</v>
      </c>
      <c r="P47" s="179">
        <v>3774</v>
      </c>
      <c r="Q47" s="368"/>
      <c r="R47" s="177"/>
      <c r="S47" s="75">
        <f t="shared" si="12"/>
        <v>4992</v>
      </c>
      <c r="T47" s="36">
        <v>0</v>
      </c>
      <c r="U47" s="4">
        <v>621</v>
      </c>
      <c r="V47" s="4">
        <v>2</v>
      </c>
      <c r="W47" s="4"/>
      <c r="X47" s="9">
        <f t="shared" si="4"/>
        <v>623</v>
      </c>
      <c r="Y47" s="161">
        <f t="shared" si="9"/>
        <v>32175</v>
      </c>
      <c r="Z47" s="244">
        <f t="shared" si="16"/>
        <v>1.9466316710411199E-2</v>
      </c>
      <c r="AA47" s="1">
        <f t="shared" si="7"/>
        <v>51.370786516853933</v>
      </c>
      <c r="AB47" s="249">
        <f t="shared" si="1"/>
        <v>0</v>
      </c>
      <c r="AC47" s="249">
        <f t="shared" si="19"/>
        <v>2.2674163867387177E-2</v>
      </c>
      <c r="AD47" s="78">
        <f t="shared" si="11"/>
        <v>1.5117157974300832E-3</v>
      </c>
      <c r="AE47" s="253"/>
      <c r="AF47" s="173"/>
      <c r="AG47" s="87" t="s">
        <v>52</v>
      </c>
      <c r="AH47" t="s">
        <v>53</v>
      </c>
      <c r="AI47" t="s">
        <v>54</v>
      </c>
      <c r="AJ47" s="88" t="s">
        <v>55</v>
      </c>
    </row>
    <row r="48" spans="1:36" x14ac:dyDescent="0.2">
      <c r="A48" s="344"/>
      <c r="B48" s="5" t="s">
        <v>42</v>
      </c>
      <c r="C48" s="4"/>
      <c r="D48" s="4">
        <v>2345</v>
      </c>
      <c r="E48" s="4">
        <v>337</v>
      </c>
      <c r="F48" s="55">
        <f t="shared" si="21"/>
        <v>2345</v>
      </c>
      <c r="G48" s="27">
        <v>23524</v>
      </c>
      <c r="H48" s="55"/>
      <c r="I48" s="123">
        <v>753</v>
      </c>
      <c r="J48" s="33">
        <v>1909</v>
      </c>
      <c r="K48" s="55">
        <v>0</v>
      </c>
      <c r="L48" s="80"/>
      <c r="M48" s="36">
        <f t="shared" si="20"/>
        <v>27778</v>
      </c>
      <c r="N48" s="37">
        <f t="shared" si="0"/>
        <v>28868</v>
      </c>
      <c r="O48" s="35">
        <v>1518</v>
      </c>
      <c r="P48" s="179">
        <v>2433</v>
      </c>
      <c r="Q48" s="369"/>
      <c r="R48" s="178"/>
      <c r="S48" s="75">
        <f t="shared" si="12"/>
        <v>3951</v>
      </c>
      <c r="T48" s="36">
        <v>0</v>
      </c>
      <c r="U48" s="4">
        <v>529</v>
      </c>
      <c r="V48" s="4">
        <v>10</v>
      </c>
      <c r="W48" s="4"/>
      <c r="X48" s="9">
        <f t="shared" si="4"/>
        <v>539</v>
      </c>
      <c r="Y48" s="161">
        <f t="shared" si="9"/>
        <v>33358</v>
      </c>
      <c r="Z48" s="244">
        <f t="shared" si="16"/>
        <v>1.6531206870111947E-2</v>
      </c>
      <c r="AA48" s="1">
        <f t="shared" si="7"/>
        <v>60.491651205936918</v>
      </c>
      <c r="AB48" s="249">
        <f t="shared" si="1"/>
        <v>0</v>
      </c>
      <c r="AC48" s="249">
        <f t="shared" si="19"/>
        <v>1.9972815827229481E-2</v>
      </c>
      <c r="AD48" s="78">
        <f t="shared" si="11"/>
        <v>3.714710252600297E-3</v>
      </c>
      <c r="AE48" s="253"/>
      <c r="AF48" s="173"/>
      <c r="AG48" s="89">
        <f>SUM(T43:T48)/SUM(T43:T48,O43:O48,J43:J48)</f>
        <v>2.360295993875989E-3</v>
      </c>
      <c r="AH48" s="90">
        <f>SUM(U43:U48)/SUM(U43:U48,P43:Q48,G43:H48)</f>
        <v>2.2558499423574255E-2</v>
      </c>
      <c r="AI48" s="90">
        <f>SUM(V43:V48)/SUM(V43:V48,F43:F48)</f>
        <v>1.0422960725075529E-2</v>
      </c>
      <c r="AJ48" s="91">
        <f>SUM(X43:X48)/SUM(X43:X48,S43:S48,N43:N48)</f>
        <v>1.8461488589211619E-2</v>
      </c>
    </row>
    <row r="49" spans="1:39" x14ac:dyDescent="0.2">
      <c r="A49" s="344"/>
      <c r="B49" s="5" t="s">
        <v>43</v>
      </c>
      <c r="C49" s="4"/>
      <c r="D49" s="4">
        <v>2126</v>
      </c>
      <c r="E49" s="4">
        <v>424</v>
      </c>
      <c r="F49" s="55">
        <f t="shared" si="21"/>
        <v>2126</v>
      </c>
      <c r="G49" s="27">
        <v>11461</v>
      </c>
      <c r="H49" s="55"/>
      <c r="I49" s="123">
        <v>332</v>
      </c>
      <c r="J49" s="45">
        <v>2283</v>
      </c>
      <c r="K49" s="55">
        <v>228</v>
      </c>
      <c r="L49" s="80"/>
      <c r="M49" s="36">
        <f t="shared" si="20"/>
        <v>16098</v>
      </c>
      <c r="N49" s="37">
        <f t="shared" si="0"/>
        <v>16854</v>
      </c>
      <c r="O49" s="35">
        <v>1528</v>
      </c>
      <c r="P49" s="179">
        <v>641</v>
      </c>
      <c r="Q49" s="370">
        <v>1040</v>
      </c>
      <c r="R49" s="179"/>
      <c r="S49" s="75">
        <f t="shared" si="12"/>
        <v>3209</v>
      </c>
      <c r="T49" s="36">
        <v>8</v>
      </c>
      <c r="U49" s="4">
        <v>68</v>
      </c>
      <c r="V49" s="4">
        <v>56</v>
      </c>
      <c r="W49" s="4"/>
      <c r="X49" s="9">
        <f t="shared" si="4"/>
        <v>132</v>
      </c>
      <c r="Y49" s="161">
        <f t="shared" si="9"/>
        <v>20195</v>
      </c>
      <c r="Z49" s="244">
        <f t="shared" si="16"/>
        <v>6.64552182449781E-3</v>
      </c>
      <c r="AA49" s="1">
        <f t="shared" si="7"/>
        <v>150.47727272727272</v>
      </c>
      <c r="AB49" s="249">
        <f t="shared" si="1"/>
        <v>1.9767729182110206E-3</v>
      </c>
      <c r="AC49" s="249">
        <f t="shared" si="19"/>
        <v>5.1476154428463285E-3</v>
      </c>
      <c r="AD49" s="78">
        <f t="shared" si="11"/>
        <v>2.1488871834228703E-2</v>
      </c>
      <c r="AE49" s="253"/>
      <c r="AF49" s="173"/>
      <c r="AI49" s="24"/>
    </row>
    <row r="50" spans="1:39" x14ac:dyDescent="0.2">
      <c r="A50" s="344"/>
      <c r="B50" s="146" t="s">
        <v>44</v>
      </c>
      <c r="C50" s="4">
        <v>20</v>
      </c>
      <c r="D50" s="4">
        <v>2188</v>
      </c>
      <c r="E50" s="4">
        <v>822</v>
      </c>
      <c r="F50" s="55">
        <f t="shared" si="21"/>
        <v>2208</v>
      </c>
      <c r="G50" s="142">
        <v>3914</v>
      </c>
      <c r="H50" s="143"/>
      <c r="I50" s="144">
        <v>575</v>
      </c>
      <c r="J50" s="145">
        <v>3665</v>
      </c>
      <c r="K50" s="143">
        <v>12</v>
      </c>
      <c r="L50" s="146"/>
      <c r="M50" s="147">
        <f t="shared" si="20"/>
        <v>9799</v>
      </c>
      <c r="N50" s="37">
        <f t="shared" si="0"/>
        <v>11196</v>
      </c>
      <c r="O50" s="148">
        <v>2025</v>
      </c>
      <c r="P50" s="149">
        <v>2406</v>
      </c>
      <c r="Q50" s="370"/>
      <c r="R50" s="179"/>
      <c r="S50" s="75">
        <f t="shared" si="12"/>
        <v>4431</v>
      </c>
      <c r="T50" s="147">
        <v>0</v>
      </c>
      <c r="U50" s="25">
        <v>143</v>
      </c>
      <c r="V50" s="4">
        <v>8</v>
      </c>
      <c r="W50" s="4"/>
      <c r="X50" s="9">
        <f t="shared" si="4"/>
        <v>151</v>
      </c>
      <c r="Y50" s="163">
        <f t="shared" si="9"/>
        <v>15778</v>
      </c>
      <c r="Z50" s="244">
        <f t="shared" si="16"/>
        <v>9.9322502137735979E-3</v>
      </c>
      <c r="AA50" s="1">
        <f t="shared" si="7"/>
        <v>100.68211920529801</v>
      </c>
      <c r="AB50" s="254">
        <f t="shared" si="1"/>
        <v>0</v>
      </c>
      <c r="AC50" s="254">
        <f t="shared" si="19"/>
        <v>2.2125947702305433E-2</v>
      </c>
      <c r="AD50" s="78">
        <f t="shared" si="11"/>
        <v>2.6507620941020544E-3</v>
      </c>
      <c r="AE50" s="253"/>
      <c r="AF50" s="173"/>
      <c r="AI50" s="1"/>
    </row>
    <row r="51" spans="1:39" x14ac:dyDescent="0.2">
      <c r="A51" s="344"/>
      <c r="B51" s="80" t="s">
        <v>45</v>
      </c>
      <c r="C51" s="4">
        <v>4</v>
      </c>
      <c r="D51" s="4">
        <v>1477</v>
      </c>
      <c r="E51" s="4">
        <v>492</v>
      </c>
      <c r="F51" s="55">
        <f t="shared" si="21"/>
        <v>1481</v>
      </c>
      <c r="G51" s="27">
        <v>6282</v>
      </c>
      <c r="H51" s="55"/>
      <c r="I51" s="123">
        <v>1195</v>
      </c>
      <c r="J51" s="28">
        <v>4604</v>
      </c>
      <c r="K51" s="55">
        <v>306</v>
      </c>
      <c r="L51" s="80"/>
      <c r="M51" s="36">
        <f t="shared" si="20"/>
        <v>12673</v>
      </c>
      <c r="N51" s="37">
        <f t="shared" si="0"/>
        <v>14360</v>
      </c>
      <c r="O51" s="35">
        <v>2929</v>
      </c>
      <c r="P51" s="179">
        <v>2834</v>
      </c>
      <c r="Q51" s="179">
        <f>1093-Q49</f>
        <v>53</v>
      </c>
      <c r="R51" s="179"/>
      <c r="S51" s="75">
        <f t="shared" si="12"/>
        <v>5816</v>
      </c>
      <c r="T51" s="36">
        <v>1</v>
      </c>
      <c r="U51" s="4">
        <v>102</v>
      </c>
      <c r="V51" s="4">
        <v>12</v>
      </c>
      <c r="W51" s="4"/>
      <c r="X51" s="9">
        <f t="shared" si="4"/>
        <v>115</v>
      </c>
      <c r="Y51" s="161">
        <f t="shared" si="9"/>
        <v>20291</v>
      </c>
      <c r="Z51" s="244">
        <f t="shared" si="16"/>
        <v>6.0222036028487642E-3</v>
      </c>
      <c r="AA51" s="1">
        <f t="shared" si="7"/>
        <v>166.05217391304348</v>
      </c>
      <c r="AB51" s="249">
        <f t="shared" si="1"/>
        <v>1.2755102040816328E-4</v>
      </c>
      <c r="AC51" s="249">
        <f t="shared" si="19"/>
        <v>1.1002049401359076E-2</v>
      </c>
      <c r="AD51" s="78">
        <f t="shared" si="11"/>
        <v>6.0575466935890963E-3</v>
      </c>
      <c r="AE51" s="253"/>
      <c r="AF51" s="173"/>
      <c r="AI51" s="24"/>
    </row>
    <row r="52" spans="1:39" x14ac:dyDescent="0.2">
      <c r="A52" s="344"/>
      <c r="B52" s="80" t="s">
        <v>46</v>
      </c>
      <c r="C52" s="4">
        <v>109</v>
      </c>
      <c r="D52" s="4">
        <v>3389</v>
      </c>
      <c r="E52" s="4">
        <v>469</v>
      </c>
      <c r="F52" s="55">
        <f t="shared" si="21"/>
        <v>3498</v>
      </c>
      <c r="G52" s="27">
        <v>5988</v>
      </c>
      <c r="H52" s="55"/>
      <c r="I52" s="123">
        <v>789</v>
      </c>
      <c r="J52" s="28">
        <v>4218</v>
      </c>
      <c r="K52" s="55">
        <v>34</v>
      </c>
      <c r="L52" s="80"/>
      <c r="M52" s="36">
        <f t="shared" si="20"/>
        <v>13738</v>
      </c>
      <c r="N52" s="37">
        <f t="shared" si="0"/>
        <v>14996</v>
      </c>
      <c r="O52" s="35">
        <v>2667</v>
      </c>
      <c r="P52" s="179">
        <v>1009</v>
      </c>
      <c r="Q52" s="4">
        <v>951</v>
      </c>
      <c r="R52" s="4"/>
      <c r="S52" s="75">
        <f t="shared" si="12"/>
        <v>4627</v>
      </c>
      <c r="T52" s="36">
        <v>0</v>
      </c>
      <c r="U52" s="4">
        <v>166</v>
      </c>
      <c r="V52" s="4">
        <v>9</v>
      </c>
      <c r="W52" s="4">
        <v>1</v>
      </c>
      <c r="X52" s="9">
        <f t="shared" si="4"/>
        <v>176</v>
      </c>
      <c r="Y52" s="161">
        <f t="shared" si="9"/>
        <v>19799</v>
      </c>
      <c r="Z52" s="244">
        <f t="shared" si="16"/>
        <v>9.258285113098369E-3</v>
      </c>
      <c r="AA52" s="1">
        <f t="shared" si="7"/>
        <v>108.01136363636364</v>
      </c>
      <c r="AB52" s="249">
        <f t="shared" si="1"/>
        <v>0</v>
      </c>
      <c r="AC52" s="249">
        <f t="shared" si="19"/>
        <v>2.0458466847424205E-2</v>
      </c>
      <c r="AD52" s="78">
        <f t="shared" si="11"/>
        <v>2.3273855702094647E-3</v>
      </c>
      <c r="AE52" s="253"/>
      <c r="AF52" s="173"/>
      <c r="AI52" s="24"/>
    </row>
    <row r="53" spans="1:39" x14ac:dyDescent="0.2">
      <c r="A53" s="344"/>
      <c r="B53" s="80" t="s">
        <v>47</v>
      </c>
      <c r="C53" s="4">
        <v>157</v>
      </c>
      <c r="D53" s="4">
        <v>3903</v>
      </c>
      <c r="E53" s="4">
        <v>672</v>
      </c>
      <c r="F53" s="55">
        <f t="shared" si="21"/>
        <v>4060</v>
      </c>
      <c r="G53" s="27">
        <v>5645</v>
      </c>
      <c r="H53" s="55"/>
      <c r="I53" s="123">
        <v>738</v>
      </c>
      <c r="J53" s="28">
        <v>3129</v>
      </c>
      <c r="K53" s="55">
        <v>176</v>
      </c>
      <c r="L53" s="80"/>
      <c r="M53" s="36">
        <f t="shared" si="20"/>
        <v>13010</v>
      </c>
      <c r="N53" s="37">
        <f t="shared" si="0"/>
        <v>14420</v>
      </c>
      <c r="O53" s="35">
        <v>1976</v>
      </c>
      <c r="P53" s="179">
        <v>1333</v>
      </c>
      <c r="Q53" s="4">
        <v>417</v>
      </c>
      <c r="R53" s="4"/>
      <c r="S53" s="75">
        <f t="shared" si="12"/>
        <v>3726</v>
      </c>
      <c r="T53" s="36">
        <v>15</v>
      </c>
      <c r="U53" s="4">
        <v>193</v>
      </c>
      <c r="V53" s="4">
        <v>54</v>
      </c>
      <c r="W53" s="4"/>
      <c r="X53" s="9">
        <f t="shared" si="4"/>
        <v>262</v>
      </c>
      <c r="Y53" s="161">
        <f t="shared" si="9"/>
        <v>18408</v>
      </c>
      <c r="Z53" s="244">
        <f t="shared" si="16"/>
        <v>1.4827391058290888E-2</v>
      </c>
      <c r="AA53" s="1">
        <f t="shared" si="7"/>
        <v>67.44274809160305</v>
      </c>
      <c r="AB53" s="249">
        <f t="shared" si="1"/>
        <v>2.8323262839879152E-3</v>
      </c>
      <c r="AC53" s="249">
        <f t="shared" si="19"/>
        <v>2.5434897206114918E-2</v>
      </c>
      <c r="AD53" s="78">
        <f t="shared" si="11"/>
        <v>1.1665586519766688E-2</v>
      </c>
      <c r="AE53" s="253"/>
      <c r="AF53" s="173"/>
      <c r="AI53" s="24"/>
    </row>
    <row r="54" spans="1:39" x14ac:dyDescent="0.2">
      <c r="A54" s="345"/>
      <c r="B54" s="80" t="s">
        <v>48</v>
      </c>
      <c r="C54" s="4">
        <v>22</v>
      </c>
      <c r="D54" s="4">
        <v>2025</v>
      </c>
      <c r="E54" s="4">
        <v>1</v>
      </c>
      <c r="F54" s="55">
        <f t="shared" si="21"/>
        <v>2047</v>
      </c>
      <c r="G54" s="28">
        <v>2327</v>
      </c>
      <c r="H54" s="52">
        <v>20</v>
      </c>
      <c r="I54" s="124">
        <v>365</v>
      </c>
      <c r="J54" s="28">
        <v>2480</v>
      </c>
      <c r="K54" s="52">
        <v>49</v>
      </c>
      <c r="L54" s="97"/>
      <c r="M54" s="36">
        <f t="shared" si="20"/>
        <v>6903</v>
      </c>
      <c r="N54" s="37">
        <f t="shared" si="0"/>
        <v>7289</v>
      </c>
      <c r="O54" s="36">
        <v>1442</v>
      </c>
      <c r="P54" s="179">
        <v>883</v>
      </c>
      <c r="Q54" s="4">
        <v>105</v>
      </c>
      <c r="R54" s="4"/>
      <c r="S54" s="75">
        <f t="shared" si="12"/>
        <v>2430</v>
      </c>
      <c r="T54" s="36">
        <v>1</v>
      </c>
      <c r="U54" s="4">
        <v>9</v>
      </c>
      <c r="V54" s="4">
        <v>16</v>
      </c>
      <c r="W54" s="4"/>
      <c r="X54" s="9">
        <f t="shared" si="4"/>
        <v>26</v>
      </c>
      <c r="Y54" s="161">
        <f t="shared" si="9"/>
        <v>9745</v>
      </c>
      <c r="Z54" s="244">
        <f t="shared" si="16"/>
        <v>2.7777777777777779E-3</v>
      </c>
      <c r="AA54" s="1">
        <f t="shared" si="7"/>
        <v>360</v>
      </c>
      <c r="AB54" s="249">
        <f t="shared" si="1"/>
        <v>2.5176233635448137E-4</v>
      </c>
      <c r="AC54" s="249">
        <f t="shared" si="19"/>
        <v>2.6913875598086126E-3</v>
      </c>
      <c r="AD54" s="78">
        <f t="shared" si="11"/>
        <v>7.8354554358472089E-3</v>
      </c>
      <c r="AE54" s="253"/>
      <c r="AF54" s="173"/>
      <c r="AG54" s="21"/>
      <c r="AH54" s="21"/>
      <c r="AI54" s="24"/>
    </row>
    <row r="55" spans="1:39" s="3" customFormat="1" ht="15" customHeight="1" x14ac:dyDescent="0.2">
      <c r="A55" s="236"/>
      <c r="B55" s="211" t="s">
        <v>64</v>
      </c>
      <c r="C55" s="72">
        <f>SUM(C43:C54)</f>
        <v>425</v>
      </c>
      <c r="D55" s="20">
        <f>SUM(D43:D54)</f>
        <v>21546</v>
      </c>
      <c r="E55" s="20">
        <f>SUM(E43:E54)</f>
        <v>5863</v>
      </c>
      <c r="F55" s="38">
        <f t="shared" ref="F55:M55" si="22">SUM(F43:F54)</f>
        <v>21971</v>
      </c>
      <c r="G55" s="44">
        <f t="shared" si="22"/>
        <v>119370</v>
      </c>
      <c r="H55" s="59">
        <f t="shared" si="22"/>
        <v>20</v>
      </c>
      <c r="I55" s="122">
        <f t="shared" si="22"/>
        <v>5551</v>
      </c>
      <c r="J55" s="29">
        <f t="shared" si="22"/>
        <v>29501</v>
      </c>
      <c r="K55" s="38">
        <f t="shared" si="22"/>
        <v>1078</v>
      </c>
      <c r="L55" s="83"/>
      <c r="M55" s="29">
        <f t="shared" si="22"/>
        <v>171920</v>
      </c>
      <c r="N55" s="38">
        <f t="shared" si="0"/>
        <v>183354</v>
      </c>
      <c r="O55" s="29">
        <f>SUM(O43:O54)</f>
        <v>19084</v>
      </c>
      <c r="P55" s="20">
        <f>SUM(P43:P54)</f>
        <v>18900</v>
      </c>
      <c r="Q55" s="20">
        <v>3178</v>
      </c>
      <c r="R55" s="20"/>
      <c r="S55" s="85">
        <f t="shared" si="12"/>
        <v>41162</v>
      </c>
      <c r="T55" s="44">
        <f t="shared" ref="T55:W55" si="23">SUM(T43:T54)</f>
        <v>62</v>
      </c>
      <c r="U55" s="60">
        <f t="shared" si="23"/>
        <v>2853</v>
      </c>
      <c r="V55" s="60">
        <f t="shared" si="23"/>
        <v>224</v>
      </c>
      <c r="W55" s="60">
        <f t="shared" si="23"/>
        <v>1</v>
      </c>
      <c r="X55" s="41">
        <f t="shared" si="4"/>
        <v>3140</v>
      </c>
      <c r="Y55" s="162">
        <f t="shared" si="9"/>
        <v>227656</v>
      </c>
      <c r="Z55" s="245">
        <f t="shared" si="16"/>
        <v>1.413873066618637E-2</v>
      </c>
      <c r="AA55" s="114">
        <f t="shared" si="7"/>
        <v>70.727707006369428</v>
      </c>
      <c r="AB55" s="251">
        <f t="shared" si="1"/>
        <v>1.2468577174459528E-3</v>
      </c>
      <c r="AC55" s="251">
        <f t="shared" si="19"/>
        <v>1.976843286839753E-2</v>
      </c>
      <c r="AD55" s="251">
        <f t="shared" si="11"/>
        <v>8.1062497738211559E-3</v>
      </c>
      <c r="AE55" s="252">
        <f t="shared" si="13"/>
        <v>2.3474178403755869E-3</v>
      </c>
      <c r="AF55" s="172"/>
      <c r="AI55" s="354" t="s">
        <v>65</v>
      </c>
      <c r="AJ55" s="354"/>
      <c r="AK55" s="354"/>
      <c r="AL55" s="354"/>
      <c r="AM55" s="354"/>
    </row>
    <row r="56" spans="1:39" s="3" customFormat="1" x14ac:dyDescent="0.2">
      <c r="A56" s="237">
        <v>2018</v>
      </c>
      <c r="B56" s="68" t="s">
        <v>37</v>
      </c>
      <c r="C56" s="4">
        <v>20</v>
      </c>
      <c r="D56" s="4">
        <v>1375</v>
      </c>
      <c r="E56" s="4">
        <v>782</v>
      </c>
      <c r="F56" s="53">
        <f>SUM(C56:D56)</f>
        <v>1395</v>
      </c>
      <c r="G56" s="32">
        <v>4182</v>
      </c>
      <c r="H56" s="55"/>
      <c r="I56" s="123">
        <v>393</v>
      </c>
      <c r="J56" s="32">
        <v>1585</v>
      </c>
      <c r="K56" s="5">
        <v>0</v>
      </c>
      <c r="L56" s="103"/>
      <c r="M56" s="36">
        <f>SUM(J56,G56,F56,K56)</f>
        <v>7162</v>
      </c>
      <c r="N56" s="37">
        <f t="shared" si="0"/>
        <v>8337</v>
      </c>
      <c r="O56" s="36">
        <v>1634</v>
      </c>
      <c r="P56" s="4">
        <v>2046</v>
      </c>
      <c r="Q56" s="4">
        <v>188</v>
      </c>
      <c r="R56" s="4"/>
      <c r="S56" s="75">
        <f t="shared" si="12"/>
        <v>3868</v>
      </c>
      <c r="T56" s="27">
        <v>0</v>
      </c>
      <c r="U56" s="4">
        <v>215</v>
      </c>
      <c r="V56" s="4">
        <v>28</v>
      </c>
      <c r="W56" s="212">
        <v>7</v>
      </c>
      <c r="X56" s="9">
        <f t="shared" si="4"/>
        <v>250</v>
      </c>
      <c r="Y56" s="161">
        <f t="shared" si="9"/>
        <v>12455</v>
      </c>
      <c r="Z56" s="244">
        <f t="shared" si="16"/>
        <v>2.072624772011275E-2</v>
      </c>
      <c r="AA56" s="1">
        <f t="shared" si="7"/>
        <v>48.247999999999998</v>
      </c>
      <c r="AB56" s="249">
        <f t="shared" si="1"/>
        <v>0</v>
      </c>
      <c r="AC56" s="249">
        <f t="shared" si="19"/>
        <v>3.2423465540642439E-2</v>
      </c>
      <c r="AD56" s="78">
        <f t="shared" si="11"/>
        <v>1.2814645308924484E-2</v>
      </c>
      <c r="AE56" s="253">
        <f t="shared" si="13"/>
        <v>0.25925925925925924</v>
      </c>
      <c r="AF56" s="173"/>
      <c r="AI56" s="354"/>
      <c r="AJ56" s="354"/>
      <c r="AK56" s="354"/>
      <c r="AL56" s="354"/>
      <c r="AM56" s="354"/>
    </row>
    <row r="57" spans="1:39" x14ac:dyDescent="0.2">
      <c r="A57" s="238"/>
      <c r="B57" s="68" t="s">
        <v>38</v>
      </c>
      <c r="C57" s="4">
        <v>35</v>
      </c>
      <c r="D57" s="4">
        <v>868</v>
      </c>
      <c r="E57" s="4">
        <v>416</v>
      </c>
      <c r="F57" s="53">
        <f t="shared" ref="F57:F67" si="24">SUM(C57:D57)</f>
        <v>903</v>
      </c>
      <c r="G57" s="66">
        <v>1065</v>
      </c>
      <c r="H57" s="55"/>
      <c r="I57" s="123">
        <v>425</v>
      </c>
      <c r="J57" s="32">
        <v>1185</v>
      </c>
      <c r="K57" s="5">
        <v>37</v>
      </c>
      <c r="L57" s="103"/>
      <c r="M57" s="36">
        <f>SUM(J57,G57,F57,K57)</f>
        <v>3190</v>
      </c>
      <c r="N57" s="37">
        <f t="shared" si="0"/>
        <v>4031</v>
      </c>
      <c r="O57" s="36">
        <v>1046</v>
      </c>
      <c r="P57" s="4">
        <v>375</v>
      </c>
      <c r="Q57" s="4">
        <v>537</v>
      </c>
      <c r="R57" s="4"/>
      <c r="S57" s="75">
        <f t="shared" si="12"/>
        <v>1958</v>
      </c>
      <c r="T57" s="36">
        <v>1</v>
      </c>
      <c r="U57" s="4">
        <v>121</v>
      </c>
      <c r="V57" s="4">
        <v>75</v>
      </c>
      <c r="W57" s="212">
        <v>0</v>
      </c>
      <c r="X57" s="9">
        <f t="shared" si="4"/>
        <v>197</v>
      </c>
      <c r="Y57" s="161">
        <f t="shared" si="9"/>
        <v>6186</v>
      </c>
      <c r="Z57" s="244">
        <f t="shared" si="16"/>
        <v>3.4195452178441242E-2</v>
      </c>
      <c r="AA57" s="1">
        <f t="shared" si="7"/>
        <v>29.243654822335024</v>
      </c>
      <c r="AB57" s="249">
        <f t="shared" si="1"/>
        <v>4.4072278536800354E-4</v>
      </c>
      <c r="AC57" s="249">
        <f t="shared" si="19"/>
        <v>5.7673975214489991E-2</v>
      </c>
      <c r="AD57" s="78">
        <f t="shared" si="11"/>
        <v>5.518763796909492E-2</v>
      </c>
      <c r="AE57" s="253">
        <f t="shared" si="13"/>
        <v>0</v>
      </c>
      <c r="AF57" s="173"/>
      <c r="AI57" s="354"/>
      <c r="AJ57" s="354"/>
      <c r="AK57" s="354"/>
      <c r="AL57" s="354"/>
      <c r="AM57" s="354"/>
    </row>
    <row r="58" spans="1:39" x14ac:dyDescent="0.2">
      <c r="A58" s="238"/>
      <c r="B58" s="68" t="s">
        <v>58</v>
      </c>
      <c r="C58" s="4"/>
      <c r="D58" s="4">
        <v>1071</v>
      </c>
      <c r="E58" s="4">
        <v>417</v>
      </c>
      <c r="F58" s="53">
        <f t="shared" si="24"/>
        <v>1071</v>
      </c>
      <c r="G58" s="50">
        <v>1049</v>
      </c>
      <c r="H58" s="55"/>
      <c r="I58" s="123">
        <v>1327</v>
      </c>
      <c r="J58" s="32">
        <v>2428</v>
      </c>
      <c r="K58" s="5">
        <v>10</v>
      </c>
      <c r="L58" s="103"/>
      <c r="M58" s="36">
        <f>SUM(J58,G58,F58,K58)</f>
        <v>4558</v>
      </c>
      <c r="N58" s="37">
        <f t="shared" si="0"/>
        <v>6302</v>
      </c>
      <c r="O58" s="36">
        <v>1534</v>
      </c>
      <c r="P58" s="4">
        <v>1058</v>
      </c>
      <c r="Q58" s="4">
        <v>489</v>
      </c>
      <c r="R58" s="4"/>
      <c r="S58" s="75">
        <f t="shared" si="12"/>
        <v>3081</v>
      </c>
      <c r="T58" s="36">
        <v>19</v>
      </c>
      <c r="U58" s="4">
        <v>23</v>
      </c>
      <c r="V58" s="4">
        <v>25</v>
      </c>
      <c r="W58" s="212">
        <v>1</v>
      </c>
      <c r="X58" s="9">
        <f t="shared" si="4"/>
        <v>68</v>
      </c>
      <c r="Y58" s="161">
        <f t="shared" si="9"/>
        <v>9451</v>
      </c>
      <c r="Z58" s="244">
        <f t="shared" si="16"/>
        <v>8.3702609551944852E-3</v>
      </c>
      <c r="AA58" s="1">
        <f t="shared" si="7"/>
        <v>119.47058823529412</v>
      </c>
      <c r="AB58" s="249">
        <f t="shared" si="1"/>
        <v>4.7607116011024802E-3</v>
      </c>
      <c r="AC58" s="249">
        <f t="shared" si="19"/>
        <v>8.7819778541428032E-3</v>
      </c>
      <c r="AD58" s="78">
        <f t="shared" si="11"/>
        <v>1.6523463317911435E-2</v>
      </c>
      <c r="AE58" s="253">
        <f t="shared" si="13"/>
        <v>1</v>
      </c>
      <c r="AF58" s="173"/>
      <c r="AI58" s="354"/>
      <c r="AJ58" s="354"/>
      <c r="AK58" s="354"/>
      <c r="AL58" s="354"/>
      <c r="AM58" s="354"/>
    </row>
    <row r="59" spans="1:39" x14ac:dyDescent="0.2">
      <c r="A59" s="238"/>
      <c r="B59" s="68" t="s">
        <v>59</v>
      </c>
      <c r="C59" s="4">
        <v>50</v>
      </c>
      <c r="D59" s="4">
        <v>959</v>
      </c>
      <c r="E59" s="4">
        <v>448</v>
      </c>
      <c r="F59" s="53">
        <f t="shared" si="24"/>
        <v>1009</v>
      </c>
      <c r="G59" s="32">
        <v>3171</v>
      </c>
      <c r="H59" s="55"/>
      <c r="I59" s="117">
        <v>3975</v>
      </c>
      <c r="J59" s="92">
        <v>3034</v>
      </c>
      <c r="K59" s="5">
        <v>0</v>
      </c>
      <c r="L59" s="103"/>
      <c r="M59" s="36">
        <f>SUM(J59,G59,F59,K59)</f>
        <v>7214</v>
      </c>
      <c r="N59" s="37">
        <f t="shared" si="0"/>
        <v>11637</v>
      </c>
      <c r="O59" s="36">
        <v>2358</v>
      </c>
      <c r="P59" s="4">
        <v>1485</v>
      </c>
      <c r="Q59" s="4">
        <v>583</v>
      </c>
      <c r="R59" s="4"/>
      <c r="S59" s="75">
        <f t="shared" si="12"/>
        <v>4426</v>
      </c>
      <c r="T59" s="36">
        <v>0</v>
      </c>
      <c r="U59" s="4">
        <v>20</v>
      </c>
      <c r="V59" s="4">
        <v>90</v>
      </c>
      <c r="W59" s="212">
        <v>6</v>
      </c>
      <c r="X59" s="9">
        <f t="shared" si="4"/>
        <v>116</v>
      </c>
      <c r="Y59" s="161">
        <f t="shared" si="9"/>
        <v>16179</v>
      </c>
      <c r="Z59" s="244">
        <f t="shared" si="16"/>
        <v>9.5050803015404792E-3</v>
      </c>
      <c r="AA59" s="1">
        <f t="shared" si="7"/>
        <v>105.20689655172413</v>
      </c>
      <c r="AB59" s="249">
        <f t="shared" si="1"/>
        <v>0</v>
      </c>
      <c r="AC59" s="249">
        <f t="shared" si="19"/>
        <v>3.8030043734550295E-3</v>
      </c>
      <c r="AD59" s="78">
        <f t="shared" si="11"/>
        <v>6.0120240480961921E-2</v>
      </c>
      <c r="AE59" s="253">
        <f t="shared" si="13"/>
        <v>0.10714285714285714</v>
      </c>
      <c r="AF59" s="173"/>
      <c r="AG59" s="42" t="s">
        <v>66</v>
      </c>
      <c r="AH59" s="86"/>
      <c r="AI59" s="86"/>
      <c r="AJ59" s="6"/>
    </row>
    <row r="60" spans="1:39" x14ac:dyDescent="0.2">
      <c r="A60" s="238"/>
      <c r="B60" s="68" t="s">
        <v>41</v>
      </c>
      <c r="C60" s="4">
        <v>16</v>
      </c>
      <c r="D60" s="4">
        <v>4234</v>
      </c>
      <c r="E60" s="4">
        <v>414</v>
      </c>
      <c r="F60" s="53">
        <f t="shared" si="24"/>
        <v>4250</v>
      </c>
      <c r="G60" s="32">
        <v>3963</v>
      </c>
      <c r="H60" s="55"/>
      <c r="I60" s="117">
        <v>1954</v>
      </c>
      <c r="J60" s="92">
        <v>2848</v>
      </c>
      <c r="K60" s="112">
        <v>0</v>
      </c>
      <c r="L60" s="109"/>
      <c r="M60" s="36">
        <f>SUM(J60,G60,F60,K60,H60)</f>
        <v>11061</v>
      </c>
      <c r="N60" s="37">
        <f t="shared" si="0"/>
        <v>13429</v>
      </c>
      <c r="O60" s="36">
        <v>3184</v>
      </c>
      <c r="P60" s="4">
        <v>1866</v>
      </c>
      <c r="Q60" s="4">
        <v>780</v>
      </c>
      <c r="R60" s="4"/>
      <c r="S60" s="75">
        <f t="shared" si="12"/>
        <v>5830</v>
      </c>
      <c r="T60" s="36">
        <v>16</v>
      </c>
      <c r="U60" s="4">
        <v>11</v>
      </c>
      <c r="V60" s="4">
        <v>21</v>
      </c>
      <c r="W60" s="212">
        <v>0</v>
      </c>
      <c r="X60" s="9">
        <f t="shared" si="4"/>
        <v>48</v>
      </c>
      <c r="Y60" s="161">
        <f t="shared" si="9"/>
        <v>19307</v>
      </c>
      <c r="Z60" s="244">
        <f t="shared" si="16"/>
        <v>2.7660923183311244E-3</v>
      </c>
      <c r="AA60" s="1">
        <f t="shared" si="7"/>
        <v>361.52083333333331</v>
      </c>
      <c r="AB60" s="249">
        <f t="shared" si="1"/>
        <v>2.6455026455026454E-3</v>
      </c>
      <c r="AC60" s="249">
        <f t="shared" si="19"/>
        <v>1.661631419939577E-3</v>
      </c>
      <c r="AD60" s="78">
        <f t="shared" si="11"/>
        <v>4.4977511244377807E-3</v>
      </c>
      <c r="AE60" s="253">
        <f t="shared" si="13"/>
        <v>0</v>
      </c>
      <c r="AF60" s="173"/>
      <c r="AG60" s="87" t="s">
        <v>52</v>
      </c>
      <c r="AH60" t="s">
        <v>53</v>
      </c>
      <c r="AI60" t="s">
        <v>54</v>
      </c>
      <c r="AJ60" s="88" t="s">
        <v>55</v>
      </c>
    </row>
    <row r="61" spans="1:39" x14ac:dyDescent="0.2">
      <c r="A61" s="238"/>
      <c r="B61" s="5" t="s">
        <v>42</v>
      </c>
      <c r="C61" s="4">
        <v>300</v>
      </c>
      <c r="D61" s="4">
        <v>5498</v>
      </c>
      <c r="E61" s="4">
        <v>397</v>
      </c>
      <c r="F61" s="53">
        <f t="shared" si="24"/>
        <v>5798</v>
      </c>
      <c r="G61" s="33">
        <v>3147</v>
      </c>
      <c r="H61" s="55">
        <v>235</v>
      </c>
      <c r="I61" s="117">
        <v>1311</v>
      </c>
      <c r="J61" s="93">
        <v>2434</v>
      </c>
      <c r="K61" s="5">
        <v>61</v>
      </c>
      <c r="L61" s="103"/>
      <c r="M61" s="36">
        <f>SUM(J61,G61,F61,K61,H61)</f>
        <v>11675</v>
      </c>
      <c r="N61" s="37">
        <f t="shared" si="0"/>
        <v>13383</v>
      </c>
      <c r="O61" s="36">
        <v>1921</v>
      </c>
      <c r="P61" s="4">
        <v>3866</v>
      </c>
      <c r="Q61" s="4">
        <v>377</v>
      </c>
      <c r="R61" s="4"/>
      <c r="S61" s="75">
        <f t="shared" si="12"/>
        <v>6164</v>
      </c>
      <c r="T61" s="36">
        <v>10</v>
      </c>
      <c r="U61" s="4">
        <v>564</v>
      </c>
      <c r="V61" s="4">
        <v>55</v>
      </c>
      <c r="W61" s="212">
        <v>0</v>
      </c>
      <c r="X61" s="9">
        <f t="shared" si="4"/>
        <v>629</v>
      </c>
      <c r="Y61" s="161">
        <f t="shared" si="9"/>
        <v>20176</v>
      </c>
      <c r="Z61" s="244">
        <f t="shared" si="16"/>
        <v>3.3342168036045589E-2</v>
      </c>
      <c r="AA61" s="1">
        <f t="shared" si="7"/>
        <v>29.992050874403816</v>
      </c>
      <c r="AB61" s="254">
        <f t="shared" si="1"/>
        <v>2.2593764121102574E-3</v>
      </c>
      <c r="AC61" s="254">
        <f t="shared" si="19"/>
        <v>6.8872878251312733E-2</v>
      </c>
      <c r="AD61" s="78">
        <f t="shared" si="11"/>
        <v>9.2436974789915968E-3</v>
      </c>
      <c r="AE61" s="253">
        <f t="shared" si="13"/>
        <v>0</v>
      </c>
      <c r="AF61" s="173"/>
      <c r="AG61" s="89">
        <f>SUM(T56:T61)/SUM(T56:T61,O56:O61,J56:J61)</f>
        <v>1.8227206086301859E-3</v>
      </c>
      <c r="AH61" s="90">
        <f>SUM(U56:U61)/SUM(U56:U61,P56:Q61,G56:H61)</f>
        <v>3.0366692131398015E-2</v>
      </c>
      <c r="AI61" s="90">
        <f>SUM(V56:V61)/SUM(V56:V61,F56:F61)</f>
        <v>1.9972826086956521E-2</v>
      </c>
      <c r="AJ61" s="91">
        <f>SUM(X56:X61)/SUM(X56:X61,S56:S61,N56:N61)</f>
        <v>1.5617164553334766E-2</v>
      </c>
    </row>
    <row r="62" spans="1:39" s="48" customFormat="1" x14ac:dyDescent="0.2">
      <c r="A62" s="239"/>
      <c r="B62" s="213" t="s">
        <v>43</v>
      </c>
      <c r="C62" s="4">
        <v>33</v>
      </c>
      <c r="D62" s="4">
        <v>7842</v>
      </c>
      <c r="E62" s="4">
        <v>1085</v>
      </c>
      <c r="F62" s="53">
        <f t="shared" si="24"/>
        <v>7875</v>
      </c>
      <c r="G62" s="51">
        <v>1969</v>
      </c>
      <c r="H62" s="46">
        <v>28</v>
      </c>
      <c r="I62" s="120">
        <v>1665</v>
      </c>
      <c r="J62" s="94">
        <v>2548</v>
      </c>
      <c r="K62" s="113">
        <v>0</v>
      </c>
      <c r="L62" s="110"/>
      <c r="M62" s="47">
        <f>SUM(J62,G62,F62,K62,H62)</f>
        <v>12420</v>
      </c>
      <c r="N62" s="37">
        <f t="shared" si="0"/>
        <v>15170</v>
      </c>
      <c r="O62" s="47">
        <v>2331</v>
      </c>
      <c r="P62" s="4">
        <v>2024</v>
      </c>
      <c r="Q62" s="31">
        <v>158</v>
      </c>
      <c r="R62" s="31"/>
      <c r="S62" s="75">
        <f t="shared" si="12"/>
        <v>4513</v>
      </c>
      <c r="T62" s="47">
        <v>50</v>
      </c>
      <c r="U62" s="31">
        <v>157</v>
      </c>
      <c r="V62" s="31">
        <v>17</v>
      </c>
      <c r="W62" s="212">
        <v>0</v>
      </c>
      <c r="X62" s="9">
        <f t="shared" si="4"/>
        <v>224</v>
      </c>
      <c r="Y62" s="164">
        <f t="shared" si="9"/>
        <v>19907</v>
      </c>
      <c r="Z62" s="244">
        <f t="shared" si="16"/>
        <v>1.2279355333844973E-2</v>
      </c>
      <c r="AA62" s="1">
        <f t="shared" si="7"/>
        <v>81.4375</v>
      </c>
      <c r="AB62" s="249">
        <f t="shared" si="1"/>
        <v>1.0144045445323595E-2</v>
      </c>
      <c r="AC62" s="249">
        <f t="shared" si="19"/>
        <v>3.6208487084870851E-2</v>
      </c>
      <c r="AD62" s="78">
        <f t="shared" si="11"/>
        <v>1.9007155635062613E-3</v>
      </c>
      <c r="AE62" s="253">
        <f t="shared" si="13"/>
        <v>0</v>
      </c>
      <c r="AF62" s="173"/>
      <c r="AG62" s="67"/>
    </row>
    <row r="63" spans="1:39" x14ac:dyDescent="0.2">
      <c r="A63" s="238"/>
      <c r="B63" s="5" t="s">
        <v>44</v>
      </c>
      <c r="C63" s="4">
        <v>42</v>
      </c>
      <c r="D63" s="4">
        <v>6299</v>
      </c>
      <c r="E63" s="4">
        <v>616</v>
      </c>
      <c r="F63" s="53">
        <f t="shared" si="24"/>
        <v>6341</v>
      </c>
      <c r="G63" s="27">
        <v>1531</v>
      </c>
      <c r="H63" s="55">
        <v>451</v>
      </c>
      <c r="I63" s="117">
        <v>1116</v>
      </c>
      <c r="J63" s="12">
        <v>3223</v>
      </c>
      <c r="K63" s="5">
        <v>93</v>
      </c>
      <c r="L63" s="103"/>
      <c r="M63" s="36">
        <f>SUM(J63,G63,F63,K63)</f>
        <v>11188</v>
      </c>
      <c r="N63" s="37">
        <f t="shared" si="0"/>
        <v>13371</v>
      </c>
      <c r="O63" s="36">
        <v>1484</v>
      </c>
      <c r="P63" s="4">
        <v>553</v>
      </c>
      <c r="Q63" s="5">
        <v>422</v>
      </c>
      <c r="R63" s="4"/>
      <c r="S63" s="75">
        <f t="shared" si="12"/>
        <v>2459</v>
      </c>
      <c r="T63" s="36">
        <v>10</v>
      </c>
      <c r="U63" s="4">
        <v>19</v>
      </c>
      <c r="V63" s="4">
        <v>105</v>
      </c>
      <c r="W63" s="212">
        <v>7</v>
      </c>
      <c r="X63" s="9">
        <f t="shared" si="4"/>
        <v>141</v>
      </c>
      <c r="Y63" s="163">
        <f t="shared" si="9"/>
        <v>15971</v>
      </c>
      <c r="Z63" s="244">
        <f t="shared" si="16"/>
        <v>9.7889475145792829E-3</v>
      </c>
      <c r="AA63" s="1">
        <f t="shared" si="7"/>
        <v>102.15602836879434</v>
      </c>
      <c r="AB63" s="254">
        <f t="shared" si="1"/>
        <v>2.0790020790020791E-3</v>
      </c>
      <c r="AC63" s="254">
        <f t="shared" si="19"/>
        <v>6.384408602150538E-3</v>
      </c>
      <c r="AD63" s="78">
        <f t="shared" si="11"/>
        <v>1.4957264957264958E-2</v>
      </c>
      <c r="AE63" s="253">
        <f t="shared" si="13"/>
        <v>0.14285714285714285</v>
      </c>
      <c r="AF63" s="173"/>
      <c r="AG63" s="67"/>
    </row>
    <row r="64" spans="1:39" x14ac:dyDescent="0.2">
      <c r="A64" s="238"/>
      <c r="B64" s="5" t="s">
        <v>45</v>
      </c>
      <c r="C64" s="4">
        <v>163</v>
      </c>
      <c r="D64" s="4">
        <v>7869</v>
      </c>
      <c r="E64" s="4">
        <v>345</v>
      </c>
      <c r="F64" s="53">
        <f t="shared" si="24"/>
        <v>8032</v>
      </c>
      <c r="G64" s="27">
        <v>947</v>
      </c>
      <c r="H64" s="55">
        <v>58</v>
      </c>
      <c r="I64" s="117">
        <v>1618</v>
      </c>
      <c r="J64" s="2">
        <v>4056</v>
      </c>
      <c r="K64" s="5">
        <v>338</v>
      </c>
      <c r="L64" s="103"/>
      <c r="M64" s="36">
        <f>SUM(J64,G64,F64,K64)</f>
        <v>13373</v>
      </c>
      <c r="N64" s="37">
        <f t="shared" si="0"/>
        <v>15394</v>
      </c>
      <c r="O64" s="36">
        <v>2993</v>
      </c>
      <c r="P64" s="4">
        <v>751</v>
      </c>
      <c r="Q64" s="5">
        <v>356</v>
      </c>
      <c r="R64" s="4"/>
      <c r="S64" s="75">
        <f t="shared" si="12"/>
        <v>4100</v>
      </c>
      <c r="T64" s="36">
        <v>12</v>
      </c>
      <c r="U64" s="4">
        <v>130</v>
      </c>
      <c r="V64" s="4">
        <v>99</v>
      </c>
      <c r="W64" s="212">
        <v>0</v>
      </c>
      <c r="X64" s="9">
        <f t="shared" si="4"/>
        <v>241</v>
      </c>
      <c r="Y64" s="161">
        <f t="shared" si="9"/>
        <v>19735</v>
      </c>
      <c r="Z64" s="244">
        <f t="shared" si="16"/>
        <v>1.3345146464366797E-2</v>
      </c>
      <c r="AA64" s="1">
        <f t="shared" si="7"/>
        <v>74.933609958506224</v>
      </c>
      <c r="AB64" s="249">
        <f t="shared" si="1"/>
        <v>1.6218407892958507E-3</v>
      </c>
      <c r="AC64" s="249">
        <f t="shared" si="19"/>
        <v>5.7983942908117751E-2</v>
      </c>
      <c r="AD64" s="78">
        <f t="shared" si="11"/>
        <v>1.1909058101768314E-2</v>
      </c>
      <c r="AE64" s="253">
        <f t="shared" si="13"/>
        <v>0</v>
      </c>
      <c r="AF64" s="173"/>
      <c r="AG64" s="69"/>
    </row>
    <row r="65" spans="1:36" x14ac:dyDescent="0.2">
      <c r="A65" s="238"/>
      <c r="B65" s="5" t="s">
        <v>46</v>
      </c>
      <c r="C65" s="4">
        <v>556</v>
      </c>
      <c r="D65" s="4">
        <v>10454</v>
      </c>
      <c r="E65" s="4">
        <v>778</v>
      </c>
      <c r="F65" s="53">
        <f t="shared" si="24"/>
        <v>11010</v>
      </c>
      <c r="G65" s="27">
        <v>1007</v>
      </c>
      <c r="H65" s="55">
        <f>1182-SUM(H61:H64,H66)</f>
        <v>261</v>
      </c>
      <c r="I65" s="117">
        <v>1848</v>
      </c>
      <c r="J65" s="2">
        <v>4162</v>
      </c>
      <c r="K65" s="5">
        <v>207</v>
      </c>
      <c r="L65" s="103"/>
      <c r="M65" s="36">
        <f>SUM(J65,G65,F65,K65)</f>
        <v>16386</v>
      </c>
      <c r="N65" s="37">
        <f t="shared" si="0"/>
        <v>19273</v>
      </c>
      <c r="O65" s="36">
        <v>3217</v>
      </c>
      <c r="P65" s="4">
        <f>260+93</f>
        <v>353</v>
      </c>
      <c r="Q65" s="5">
        <v>84</v>
      </c>
      <c r="R65" s="4"/>
      <c r="S65" s="75">
        <f t="shared" si="12"/>
        <v>3654</v>
      </c>
      <c r="T65" s="36">
        <v>38</v>
      </c>
      <c r="U65" s="4">
        <v>7</v>
      </c>
      <c r="V65" s="4">
        <v>144</v>
      </c>
      <c r="W65" s="212">
        <v>2</v>
      </c>
      <c r="X65" s="9">
        <f t="shared" si="4"/>
        <v>191</v>
      </c>
      <c r="Y65" s="161">
        <f t="shared" si="9"/>
        <v>23118</v>
      </c>
      <c r="Z65" s="244">
        <f t="shared" si="16"/>
        <v>9.091341805892713E-3</v>
      </c>
      <c r="AA65" s="1">
        <f t="shared" si="7"/>
        <v>109.99476439790575</v>
      </c>
      <c r="AB65" s="249">
        <f t="shared" si="1"/>
        <v>4.9842602308499476E-3</v>
      </c>
      <c r="AC65" s="249">
        <f t="shared" si="19"/>
        <v>4.0887850467289715E-3</v>
      </c>
      <c r="AD65" s="78">
        <f t="shared" si="11"/>
        <v>1.2658227848101266E-2</v>
      </c>
      <c r="AE65" s="253">
        <f t="shared" si="13"/>
        <v>3.5842293906810036E-3</v>
      </c>
      <c r="AF65" s="173"/>
    </row>
    <row r="66" spans="1:36" x14ac:dyDescent="0.2">
      <c r="A66" s="238"/>
      <c r="B66" s="5" t="s">
        <v>47</v>
      </c>
      <c r="C66" s="4">
        <v>48</v>
      </c>
      <c r="D66" s="4">
        <v>5272</v>
      </c>
      <c r="E66" s="4">
        <v>537</v>
      </c>
      <c r="F66" s="53">
        <f t="shared" si="24"/>
        <v>5320</v>
      </c>
      <c r="G66" s="27">
        <v>980</v>
      </c>
      <c r="H66" s="55">
        <v>149</v>
      </c>
      <c r="I66" s="117">
        <v>1025</v>
      </c>
      <c r="J66" s="2">
        <v>2101</v>
      </c>
      <c r="K66" s="5">
        <v>191</v>
      </c>
      <c r="L66" s="103"/>
      <c r="M66" s="36">
        <f>SUM(J66,G66,F66,K66)</f>
        <v>8592</v>
      </c>
      <c r="N66" s="37">
        <f t="shared" si="0"/>
        <v>10303</v>
      </c>
      <c r="O66" s="36">
        <v>1116</v>
      </c>
      <c r="P66" s="4">
        <f>15064-14377</f>
        <v>687</v>
      </c>
      <c r="Q66" s="5">
        <v>333</v>
      </c>
      <c r="R66" s="4"/>
      <c r="S66" s="75">
        <f t="shared" si="12"/>
        <v>2136</v>
      </c>
      <c r="T66" s="36">
        <v>11</v>
      </c>
      <c r="U66" s="4">
        <v>24</v>
      </c>
      <c r="V66" s="4">
        <v>114</v>
      </c>
      <c r="W66" s="212">
        <v>22</v>
      </c>
      <c r="X66" s="9">
        <f t="shared" si="4"/>
        <v>171</v>
      </c>
      <c r="Y66" s="161">
        <f t="shared" si="9"/>
        <v>12610</v>
      </c>
      <c r="Z66" s="244">
        <f t="shared" si="16"/>
        <v>1.4952780692549843E-2</v>
      </c>
      <c r="AA66" s="1">
        <f t="shared" si="7"/>
        <v>66.877192982456137</v>
      </c>
      <c r="AB66" s="249">
        <f t="shared" si="1"/>
        <v>3.2173150043872476E-3</v>
      </c>
      <c r="AC66" s="249">
        <f t="shared" si="19"/>
        <v>1.1044638748274275E-2</v>
      </c>
      <c r="AD66" s="78">
        <f t="shared" si="11"/>
        <v>1.9247003207833867E-2</v>
      </c>
      <c r="AE66" s="253">
        <f t="shared" si="13"/>
        <v>0.31428571428571428</v>
      </c>
      <c r="AF66" s="173"/>
    </row>
    <row r="67" spans="1:36" x14ac:dyDescent="0.2">
      <c r="A67" s="240"/>
      <c r="B67" s="5" t="s">
        <v>48</v>
      </c>
      <c r="C67" s="4">
        <v>44</v>
      </c>
      <c r="D67" s="4">
        <v>4450</v>
      </c>
      <c r="E67" s="4">
        <v>565</v>
      </c>
      <c r="F67" s="53">
        <f t="shared" si="24"/>
        <v>4494</v>
      </c>
      <c r="G67" s="28">
        <v>359</v>
      </c>
      <c r="H67" s="57">
        <v>263</v>
      </c>
      <c r="I67" s="125">
        <v>816</v>
      </c>
      <c r="J67" s="2">
        <v>3138</v>
      </c>
      <c r="K67" s="96">
        <v>341</v>
      </c>
      <c r="L67" s="111"/>
      <c r="M67" s="36">
        <f>SUM(J67,G67,F67,K67)</f>
        <v>8332</v>
      </c>
      <c r="N67" s="37">
        <f t="shared" si="0"/>
        <v>9976</v>
      </c>
      <c r="O67" s="36">
        <v>2580</v>
      </c>
      <c r="P67" s="4">
        <f>10+354</f>
        <v>364</v>
      </c>
      <c r="Q67" s="5">
        <v>212</v>
      </c>
      <c r="R67" s="4"/>
      <c r="S67" s="75">
        <f t="shared" si="12"/>
        <v>3156</v>
      </c>
      <c r="T67" s="36">
        <v>7</v>
      </c>
      <c r="U67" s="4">
        <v>23</v>
      </c>
      <c r="V67" s="4">
        <v>76</v>
      </c>
      <c r="W67" s="212">
        <v>0</v>
      </c>
      <c r="X67" s="9">
        <f t="shared" si="4"/>
        <v>106</v>
      </c>
      <c r="Y67" s="161">
        <f t="shared" si="9"/>
        <v>13238</v>
      </c>
      <c r="Z67" s="244">
        <f t="shared" si="16"/>
        <v>8.7178221893247799E-3</v>
      </c>
      <c r="AA67" s="1">
        <f t="shared" si="7"/>
        <v>114.70754716981132</v>
      </c>
      <c r="AB67" s="249">
        <f t="shared" si="1"/>
        <v>1.1539729640619848E-3</v>
      </c>
      <c r="AC67" s="249">
        <f t="shared" si="19"/>
        <v>1.8837018837018837E-2</v>
      </c>
      <c r="AD67" s="78">
        <f t="shared" si="11"/>
        <v>1.4928304851699077E-2</v>
      </c>
      <c r="AE67" s="253">
        <f t="shared" si="13"/>
        <v>0</v>
      </c>
      <c r="AF67" s="173"/>
    </row>
    <row r="68" spans="1:36" s="3" customFormat="1" x14ac:dyDescent="0.2">
      <c r="A68" s="236"/>
      <c r="B68" s="211" t="s">
        <v>67</v>
      </c>
      <c r="C68" s="72">
        <f>SUM(C56:C67)</f>
        <v>1307</v>
      </c>
      <c r="D68" s="72">
        <f>SUM(D56:D67)</f>
        <v>56191</v>
      </c>
      <c r="E68" s="20">
        <f>SUM(E56:E67)</f>
        <v>6800</v>
      </c>
      <c r="F68" s="38">
        <f>SUM(F56:F67)</f>
        <v>57498</v>
      </c>
      <c r="G68" s="71">
        <f t="shared" ref="G68:K68" si="25">SUM(G56:G67)</f>
        <v>23370</v>
      </c>
      <c r="H68" s="54">
        <f t="shared" si="25"/>
        <v>1445</v>
      </c>
      <c r="I68" s="126">
        <f>SUM(I56:I67)</f>
        <v>17473</v>
      </c>
      <c r="J68" s="20">
        <f t="shared" si="25"/>
        <v>32742</v>
      </c>
      <c r="K68" s="83">
        <f t="shared" si="25"/>
        <v>1278</v>
      </c>
      <c r="L68" s="114"/>
      <c r="M68" s="72">
        <f>F68+G68+H68+J68+K68</f>
        <v>116333</v>
      </c>
      <c r="N68" s="38">
        <f t="shared" ref="N68:N105" si="26">SUM(C68+D68+E68+G68+H68+I68+J68+K68+L68)</f>
        <v>140606</v>
      </c>
      <c r="O68" s="29">
        <f>SUM(O56:O67)</f>
        <v>25398</v>
      </c>
      <c r="P68" s="20">
        <f>SUM(P56:P67)</f>
        <v>15428</v>
      </c>
      <c r="Q68" s="41">
        <f>SUM(Q56:Q67)</f>
        <v>4519</v>
      </c>
      <c r="R68" s="20"/>
      <c r="S68" s="85">
        <f t="shared" si="12"/>
        <v>45345</v>
      </c>
      <c r="T68" s="44">
        <f t="shared" ref="T68:U68" si="27">SUM(T56:T67)</f>
        <v>174</v>
      </c>
      <c r="U68" s="60">
        <f t="shared" si="27"/>
        <v>1314</v>
      </c>
      <c r="V68" s="60">
        <f>SUM(V56:V67)</f>
        <v>849</v>
      </c>
      <c r="W68" s="60">
        <f>SUM(W56:W67)</f>
        <v>45</v>
      </c>
      <c r="X68" s="41">
        <f t="shared" si="4"/>
        <v>2382</v>
      </c>
      <c r="Y68" s="162">
        <f t="shared" si="9"/>
        <v>188333</v>
      </c>
      <c r="Z68" s="245">
        <f t="shared" ref="Z68:Z81" si="28">X68/SUM(X68+M68+E68+S68)</f>
        <v>1.3941238440828748E-2</v>
      </c>
      <c r="AA68" s="114">
        <f>1/Z68</f>
        <v>71.729638958858104</v>
      </c>
      <c r="AB68" s="251">
        <f t="shared" ref="AB68:AB80" si="29">T68/(J68+K68+O68+T68)</f>
        <v>2.9198550140958519E-3</v>
      </c>
      <c r="AC68" s="251">
        <f t="shared" si="19"/>
        <v>2.8518100529559859E-2</v>
      </c>
      <c r="AD68" s="251">
        <f t="shared" si="11"/>
        <v>1.3298872180451128E-2</v>
      </c>
      <c r="AE68" s="252">
        <f t="shared" si="13"/>
        <v>3.3284023668639057E-2</v>
      </c>
      <c r="AF68" s="172"/>
      <c r="AG68" s="79"/>
    </row>
    <row r="69" spans="1:36" s="3" customFormat="1" x14ac:dyDescent="0.2">
      <c r="A69" s="237">
        <v>2019</v>
      </c>
      <c r="B69" s="68" t="s">
        <v>37</v>
      </c>
      <c r="C69" s="4">
        <v>40</v>
      </c>
      <c r="D69" s="4">
        <v>4064</v>
      </c>
      <c r="E69" s="4">
        <v>508</v>
      </c>
      <c r="F69" s="53">
        <f>SUM(C69:D69)</f>
        <v>4104</v>
      </c>
      <c r="G69" s="32">
        <v>202</v>
      </c>
      <c r="H69" s="55">
        <v>49</v>
      </c>
      <c r="I69" s="117">
        <v>579</v>
      </c>
      <c r="J69" s="98">
        <v>2079</v>
      </c>
      <c r="K69" s="102">
        <v>1</v>
      </c>
      <c r="L69" s="102">
        <v>594</v>
      </c>
      <c r="M69" s="36">
        <f t="shared" ref="M69:M81" si="30">SUM(J69,G69,F69,K69:L69,H69)</f>
        <v>7029</v>
      </c>
      <c r="N69" s="37">
        <f t="shared" si="26"/>
        <v>8116</v>
      </c>
      <c r="O69" s="36">
        <v>1092</v>
      </c>
      <c r="P69" s="4">
        <v>548</v>
      </c>
      <c r="Q69" s="4">
        <v>177</v>
      </c>
      <c r="R69" s="4"/>
      <c r="S69" s="75">
        <f t="shared" si="12"/>
        <v>1817</v>
      </c>
      <c r="T69" s="27">
        <v>2</v>
      </c>
      <c r="U69" s="4">
        <v>152</v>
      </c>
      <c r="V69" s="4">
        <v>62</v>
      </c>
      <c r="W69" s="212">
        <v>0</v>
      </c>
      <c r="X69" s="9">
        <f t="shared" ref="X69:X107" si="31">SUM(T69:W69)</f>
        <v>216</v>
      </c>
      <c r="Y69" s="161">
        <f t="shared" si="9"/>
        <v>10149</v>
      </c>
      <c r="Z69" s="244">
        <f t="shared" si="28"/>
        <v>2.25705329153605E-2</v>
      </c>
      <c r="AA69" s="1">
        <f t="shared" ref="AA69:AA107" si="32">1/Z69</f>
        <v>44.305555555555557</v>
      </c>
      <c r="AB69" s="249">
        <f t="shared" si="29"/>
        <v>6.3011972274732201E-4</v>
      </c>
      <c r="AC69" s="249">
        <f t="shared" si="19"/>
        <v>0.13475177304964539</v>
      </c>
      <c r="AD69" s="78">
        <f t="shared" si="11"/>
        <v>1.3379369874838154E-2</v>
      </c>
      <c r="AE69" s="253">
        <f t="shared" si="13"/>
        <v>0</v>
      </c>
      <c r="AF69" s="173"/>
      <c r="AG69" s="73"/>
    </row>
    <row r="70" spans="1:36" x14ac:dyDescent="0.2">
      <c r="A70" s="238"/>
      <c r="B70" s="68" t="s">
        <v>38</v>
      </c>
      <c r="C70" s="4">
        <v>44</v>
      </c>
      <c r="D70" s="4">
        <v>892</v>
      </c>
      <c r="E70" s="4">
        <v>430</v>
      </c>
      <c r="F70" s="53">
        <f t="shared" ref="F70:F80" si="33">SUM(C70:D70)</f>
        <v>936</v>
      </c>
      <c r="G70" s="32">
        <v>60</v>
      </c>
      <c r="H70" s="55">
        <v>0</v>
      </c>
      <c r="I70" s="117">
        <v>783</v>
      </c>
      <c r="J70" s="98">
        <f>4483-2934</f>
        <v>1549</v>
      </c>
      <c r="K70" s="102"/>
      <c r="L70" s="102">
        <v>429</v>
      </c>
      <c r="M70" s="36">
        <f t="shared" si="30"/>
        <v>2974</v>
      </c>
      <c r="N70" s="37">
        <f t="shared" si="26"/>
        <v>4187</v>
      </c>
      <c r="O70" s="36">
        <v>1428</v>
      </c>
      <c r="P70" s="4">
        <f>855-P69</f>
        <v>307</v>
      </c>
      <c r="Q70" s="4">
        <v>46</v>
      </c>
      <c r="R70" s="4"/>
      <c r="S70" s="75">
        <f t="shared" si="12"/>
        <v>1781</v>
      </c>
      <c r="T70" s="36">
        <v>1</v>
      </c>
      <c r="U70" s="4">
        <v>6</v>
      </c>
      <c r="V70" s="4">
        <v>19</v>
      </c>
      <c r="W70" s="212">
        <v>0</v>
      </c>
      <c r="X70" s="9">
        <f t="shared" si="31"/>
        <v>26</v>
      </c>
      <c r="Y70" s="161">
        <f t="shared" si="9"/>
        <v>5994</v>
      </c>
      <c r="Z70" s="244">
        <f t="shared" si="28"/>
        <v>4.9894454039531759E-3</v>
      </c>
      <c r="AA70" s="1">
        <f t="shared" si="32"/>
        <v>200.42307692307693</v>
      </c>
      <c r="AB70" s="249">
        <f t="shared" si="29"/>
        <v>3.3579583613163198E-4</v>
      </c>
      <c r="AC70" s="249">
        <f t="shared" si="19"/>
        <v>1.4319809069212411E-2</v>
      </c>
      <c r="AD70" s="78">
        <f t="shared" si="11"/>
        <v>1.4168530947054437E-2</v>
      </c>
      <c r="AE70" s="253">
        <f t="shared" si="13"/>
        <v>0</v>
      </c>
      <c r="AF70" s="173"/>
      <c r="AG70" s="77"/>
      <c r="AH70" s="3"/>
    </row>
    <row r="71" spans="1:36" x14ac:dyDescent="0.2">
      <c r="A71" s="238"/>
      <c r="B71" s="68" t="s">
        <v>58</v>
      </c>
      <c r="C71" s="4">
        <v>89</v>
      </c>
      <c r="D71" s="4">
        <v>251</v>
      </c>
      <c r="E71" s="4">
        <v>416</v>
      </c>
      <c r="F71" s="53">
        <f t="shared" si="33"/>
        <v>340</v>
      </c>
      <c r="G71" s="50">
        <v>262</v>
      </c>
      <c r="H71" s="55">
        <v>188</v>
      </c>
      <c r="I71" s="117">
        <v>1151</v>
      </c>
      <c r="J71" s="98">
        <v>2021</v>
      </c>
      <c r="K71" s="102"/>
      <c r="L71" s="102">
        <v>637</v>
      </c>
      <c r="M71" s="36">
        <f t="shared" si="30"/>
        <v>3448</v>
      </c>
      <c r="N71" s="37">
        <f t="shared" si="26"/>
        <v>5015</v>
      </c>
      <c r="O71" s="36">
        <v>1796</v>
      </c>
      <c r="P71" s="4">
        <v>218</v>
      </c>
      <c r="Q71" s="4">
        <v>323</v>
      </c>
      <c r="R71" s="4"/>
      <c r="S71" s="75">
        <f t="shared" si="12"/>
        <v>2337</v>
      </c>
      <c r="T71" s="36">
        <v>11</v>
      </c>
      <c r="U71" s="4">
        <v>56</v>
      </c>
      <c r="V71" s="4">
        <v>53</v>
      </c>
      <c r="W71" s="212">
        <v>19</v>
      </c>
      <c r="X71" s="9">
        <f t="shared" si="31"/>
        <v>139</v>
      </c>
      <c r="Y71" s="161">
        <f t="shared" si="9"/>
        <v>7491</v>
      </c>
      <c r="Z71" s="244">
        <f t="shared" si="28"/>
        <v>2.1924290220820188E-2</v>
      </c>
      <c r="AA71" s="1">
        <f t="shared" si="32"/>
        <v>45.611510791366911</v>
      </c>
      <c r="AB71" s="249">
        <f t="shared" si="29"/>
        <v>2.8735632183908046E-3</v>
      </c>
      <c r="AC71" s="249">
        <f t="shared" si="19"/>
        <v>5.3486150907354348E-2</v>
      </c>
      <c r="AD71" s="78">
        <f t="shared" si="11"/>
        <v>7.3611111111111113E-2</v>
      </c>
      <c r="AE71" s="253">
        <f t="shared" si="13"/>
        <v>0.17592592592592593</v>
      </c>
      <c r="AF71" s="173"/>
      <c r="AG71" s="74"/>
      <c r="AH71" s="3"/>
    </row>
    <row r="72" spans="1:36" x14ac:dyDescent="0.2">
      <c r="A72" s="238"/>
      <c r="B72" s="68" t="s">
        <v>59</v>
      </c>
      <c r="C72" s="4">
        <v>70</v>
      </c>
      <c r="D72" s="4">
        <v>979</v>
      </c>
      <c r="E72" s="4">
        <v>473</v>
      </c>
      <c r="F72" s="53">
        <f t="shared" si="33"/>
        <v>1049</v>
      </c>
      <c r="G72" s="32">
        <v>255</v>
      </c>
      <c r="H72" s="55">
        <v>64</v>
      </c>
      <c r="I72" s="117">
        <v>984</v>
      </c>
      <c r="J72" s="98">
        <v>2068</v>
      </c>
      <c r="K72" s="102"/>
      <c r="L72" s="102">
        <v>760</v>
      </c>
      <c r="M72" s="36">
        <f t="shared" si="30"/>
        <v>4196</v>
      </c>
      <c r="N72" s="37">
        <f t="shared" si="26"/>
        <v>5653</v>
      </c>
      <c r="O72" s="36">
        <v>2773</v>
      </c>
      <c r="P72" s="4">
        <v>130</v>
      </c>
      <c r="Q72" s="4">
        <v>166</v>
      </c>
      <c r="R72" s="4"/>
      <c r="S72" s="75">
        <f t="shared" si="12"/>
        <v>3069</v>
      </c>
      <c r="T72" s="36">
        <v>5</v>
      </c>
      <c r="U72" s="4">
        <v>52</v>
      </c>
      <c r="V72" s="4">
        <v>7</v>
      </c>
      <c r="W72" s="212">
        <v>0</v>
      </c>
      <c r="X72" s="9">
        <f t="shared" si="31"/>
        <v>64</v>
      </c>
      <c r="Y72" s="161">
        <f t="shared" si="9"/>
        <v>8786</v>
      </c>
      <c r="Z72" s="244">
        <f t="shared" si="28"/>
        <v>8.2030248654191232E-3</v>
      </c>
      <c r="AA72" s="1">
        <f t="shared" si="32"/>
        <v>121.90625</v>
      </c>
      <c r="AB72" s="249">
        <f t="shared" si="29"/>
        <v>1.0317787866281469E-3</v>
      </c>
      <c r="AC72" s="249">
        <f t="shared" si="19"/>
        <v>7.7961019490254871E-2</v>
      </c>
      <c r="AD72" s="78">
        <f t="shared" si="11"/>
        <v>4.7978067169294038E-3</v>
      </c>
      <c r="AE72" s="253">
        <f t="shared" si="13"/>
        <v>0</v>
      </c>
      <c r="AF72" s="173"/>
      <c r="AG72" s="42" t="s">
        <v>68</v>
      </c>
      <c r="AH72" s="86"/>
      <c r="AI72" s="86"/>
      <c r="AJ72" s="6"/>
    </row>
    <row r="73" spans="1:36" x14ac:dyDescent="0.2">
      <c r="A73" s="238"/>
      <c r="B73" s="68" t="s">
        <v>41</v>
      </c>
      <c r="C73" s="4">
        <v>93</v>
      </c>
      <c r="D73" s="4">
        <v>1459</v>
      </c>
      <c r="E73" s="4">
        <v>575</v>
      </c>
      <c r="F73" s="53">
        <f t="shared" si="33"/>
        <v>1552</v>
      </c>
      <c r="G73" s="32">
        <v>782</v>
      </c>
      <c r="H73" s="55">
        <v>376</v>
      </c>
      <c r="I73" s="117">
        <v>255</v>
      </c>
      <c r="J73" s="98">
        <v>2898</v>
      </c>
      <c r="K73" s="102">
        <v>32</v>
      </c>
      <c r="L73" s="107">
        <v>727</v>
      </c>
      <c r="M73" s="36">
        <f t="shared" si="30"/>
        <v>6367</v>
      </c>
      <c r="N73" s="37">
        <f t="shared" si="26"/>
        <v>7197</v>
      </c>
      <c r="O73" s="36">
        <v>2604</v>
      </c>
      <c r="P73" s="4">
        <f>2417-P72-P71-P70-P69</f>
        <v>1214</v>
      </c>
      <c r="Q73" s="4">
        <v>249</v>
      </c>
      <c r="R73" s="4"/>
      <c r="S73" s="75">
        <f t="shared" si="12"/>
        <v>4067</v>
      </c>
      <c r="T73" s="36">
        <v>18</v>
      </c>
      <c r="U73" s="4">
        <v>65</v>
      </c>
      <c r="V73" s="4">
        <v>25</v>
      </c>
      <c r="W73" s="212">
        <v>4</v>
      </c>
      <c r="X73" s="9">
        <f t="shared" si="31"/>
        <v>112</v>
      </c>
      <c r="Y73" s="161">
        <f t="shared" si="9"/>
        <v>11376</v>
      </c>
      <c r="Z73" s="244">
        <f t="shared" si="28"/>
        <v>1.0071036777268231E-2</v>
      </c>
      <c r="AA73" s="1">
        <f t="shared" si="32"/>
        <v>99.294642857142861</v>
      </c>
      <c r="AB73" s="249">
        <f t="shared" si="29"/>
        <v>3.2420749279538905E-3</v>
      </c>
      <c r="AC73" s="249">
        <f t="shared" si="19"/>
        <v>2.4199553239017124E-2</v>
      </c>
      <c r="AD73" s="78">
        <f t="shared" si="11"/>
        <v>1.2141816415735794E-2</v>
      </c>
      <c r="AE73" s="253">
        <f t="shared" si="13"/>
        <v>4.1237113402061855E-2</v>
      </c>
      <c r="AF73" s="173"/>
      <c r="AG73" s="87" t="s">
        <v>52</v>
      </c>
      <c r="AH73" t="s">
        <v>53</v>
      </c>
      <c r="AI73" t="s">
        <v>54</v>
      </c>
      <c r="AJ73" s="88" t="s">
        <v>55</v>
      </c>
    </row>
    <row r="74" spans="1:36" x14ac:dyDescent="0.2">
      <c r="A74" s="238"/>
      <c r="B74" s="5" t="s">
        <v>42</v>
      </c>
      <c r="C74" s="4">
        <v>126</v>
      </c>
      <c r="D74" s="4">
        <v>2343</v>
      </c>
      <c r="E74" s="4">
        <v>371</v>
      </c>
      <c r="F74" s="53">
        <f t="shared" si="33"/>
        <v>2469</v>
      </c>
      <c r="G74" s="33">
        <v>1218</v>
      </c>
      <c r="H74" s="55">
        <v>599</v>
      </c>
      <c r="I74" s="117">
        <v>289</v>
      </c>
      <c r="J74" s="93">
        <v>3792</v>
      </c>
      <c r="K74" s="105"/>
      <c r="L74" s="103">
        <v>733</v>
      </c>
      <c r="M74" s="36">
        <f t="shared" si="30"/>
        <v>8811</v>
      </c>
      <c r="N74" s="37">
        <f t="shared" si="26"/>
        <v>9471</v>
      </c>
      <c r="O74" s="36">
        <v>3262</v>
      </c>
      <c r="P74" s="4">
        <f>3750-SUM(P69:P73)</f>
        <v>1333</v>
      </c>
      <c r="Q74" s="4">
        <v>254</v>
      </c>
      <c r="R74" s="4"/>
      <c r="S74" s="75">
        <f t="shared" si="12"/>
        <v>4849</v>
      </c>
      <c r="T74" s="36">
        <v>19</v>
      </c>
      <c r="U74" s="4">
        <v>27</v>
      </c>
      <c r="V74" s="4">
        <v>35</v>
      </c>
      <c r="W74" s="212">
        <v>36</v>
      </c>
      <c r="X74" s="9">
        <f t="shared" si="31"/>
        <v>117</v>
      </c>
      <c r="Y74" s="161">
        <f t="shared" si="9"/>
        <v>14437</v>
      </c>
      <c r="Z74" s="244">
        <f t="shared" si="28"/>
        <v>8.2697201017811698E-3</v>
      </c>
      <c r="AA74" s="1">
        <f t="shared" si="32"/>
        <v>120.92307692307693</v>
      </c>
      <c r="AB74" s="249">
        <f t="shared" si="29"/>
        <v>2.6862717375936659E-3</v>
      </c>
      <c r="AC74" s="249">
        <f t="shared" si="19"/>
        <v>7.8694258233751088E-3</v>
      </c>
      <c r="AD74" s="78">
        <f t="shared" si="11"/>
        <v>1.2731902510003638E-2</v>
      </c>
      <c r="AE74" s="253">
        <f t="shared" si="13"/>
        <v>0.22222222222222221</v>
      </c>
      <c r="AF74" s="173"/>
      <c r="AG74" s="89">
        <f>SUM(T69:T74)/SUM(T69:T74,O69:O74,J69:J74)</f>
        <v>2.0424538624261436E-3</v>
      </c>
      <c r="AH74" s="90">
        <f>SUM(U69:U74)/SUM(U69:U74,P69:Q74,G69:H74)</f>
        <v>3.8174450842397102E-2</v>
      </c>
      <c r="AI74" s="90">
        <f>SUM(V69:V74)/SUM(V69:V74,F69:F74)</f>
        <v>1.8871467467843395E-2</v>
      </c>
      <c r="AJ74" s="91">
        <f>SUM(X69:X74)/SUM(X69:X74,S69:S74,N69:N74)</f>
        <v>1.1574193326807824E-2</v>
      </c>
    </row>
    <row r="75" spans="1:36" s="48" customFormat="1" x14ac:dyDescent="0.2">
      <c r="A75" s="239"/>
      <c r="B75" s="213" t="s">
        <v>43</v>
      </c>
      <c r="C75" s="4"/>
      <c r="D75" s="4">
        <v>2853</v>
      </c>
      <c r="E75" s="4">
        <v>540</v>
      </c>
      <c r="F75" s="53">
        <f t="shared" si="33"/>
        <v>2853</v>
      </c>
      <c r="G75" s="51">
        <v>1088</v>
      </c>
      <c r="H75" s="46">
        <v>307</v>
      </c>
      <c r="I75" s="120">
        <v>375</v>
      </c>
      <c r="J75" s="26">
        <v>5528</v>
      </c>
      <c r="K75" s="106"/>
      <c r="L75" s="104">
        <v>600</v>
      </c>
      <c r="M75" s="36">
        <f t="shared" si="30"/>
        <v>10376</v>
      </c>
      <c r="N75" s="37">
        <f t="shared" si="26"/>
        <v>11291</v>
      </c>
      <c r="O75" s="47">
        <v>5409</v>
      </c>
      <c r="P75" s="4">
        <v>826</v>
      </c>
      <c r="Q75" s="31">
        <v>608</v>
      </c>
      <c r="R75" s="31"/>
      <c r="S75" s="75">
        <f t="shared" si="12"/>
        <v>6843</v>
      </c>
      <c r="T75" s="47">
        <v>1</v>
      </c>
      <c r="U75" s="31">
        <v>301</v>
      </c>
      <c r="V75" s="31">
        <v>4</v>
      </c>
      <c r="W75" s="212">
        <v>0</v>
      </c>
      <c r="X75" s="9">
        <f t="shared" si="31"/>
        <v>306</v>
      </c>
      <c r="Y75" s="164">
        <f t="shared" si="9"/>
        <v>18440</v>
      </c>
      <c r="Z75" s="244">
        <f t="shared" si="28"/>
        <v>1.6938831995571547E-2</v>
      </c>
      <c r="AA75" s="1">
        <f t="shared" si="32"/>
        <v>59.035947712418299</v>
      </c>
      <c r="AB75" s="249">
        <f t="shared" si="29"/>
        <v>9.1424392027793011E-5</v>
      </c>
      <c r="AC75" s="249">
        <f t="shared" si="19"/>
        <v>9.6166134185303509E-2</v>
      </c>
      <c r="AD75" s="78">
        <f t="shared" si="11"/>
        <v>1.1775095672652341E-3</v>
      </c>
      <c r="AE75" s="253"/>
      <c r="AF75" s="173"/>
      <c r="AG75" s="67"/>
    </row>
    <row r="76" spans="1:36" x14ac:dyDescent="0.2">
      <c r="A76" s="238"/>
      <c r="B76" s="5" t="s">
        <v>44</v>
      </c>
      <c r="C76" s="4">
        <v>122</v>
      </c>
      <c r="D76" s="4">
        <v>1983</v>
      </c>
      <c r="E76" s="4">
        <v>178</v>
      </c>
      <c r="F76" s="53">
        <f t="shared" si="33"/>
        <v>2105</v>
      </c>
      <c r="G76" s="27">
        <v>1268</v>
      </c>
      <c r="H76" s="55">
        <v>662</v>
      </c>
      <c r="I76" s="117">
        <v>1071</v>
      </c>
      <c r="J76" s="2">
        <v>8278</v>
      </c>
      <c r="K76" s="135">
        <v>33</v>
      </c>
      <c r="L76" s="103">
        <v>380</v>
      </c>
      <c r="M76" s="36">
        <f t="shared" si="30"/>
        <v>12726</v>
      </c>
      <c r="N76" s="37">
        <f t="shared" si="26"/>
        <v>13975</v>
      </c>
      <c r="O76" s="36">
        <v>8430</v>
      </c>
      <c r="P76" s="4">
        <v>1374</v>
      </c>
      <c r="Q76" s="4">
        <v>515</v>
      </c>
      <c r="R76" s="4"/>
      <c r="S76" s="75">
        <f t="shared" si="12"/>
        <v>10319</v>
      </c>
      <c r="T76" s="36">
        <v>0</v>
      </c>
      <c r="U76" s="4">
        <v>167</v>
      </c>
      <c r="V76" s="4">
        <v>6</v>
      </c>
      <c r="W76" s="212">
        <v>23</v>
      </c>
      <c r="X76" s="9">
        <f t="shared" si="31"/>
        <v>196</v>
      </c>
      <c r="Y76" s="163">
        <f t="shared" si="9"/>
        <v>24490</v>
      </c>
      <c r="Z76" s="244">
        <f t="shared" si="28"/>
        <v>8.3692728126734707E-3</v>
      </c>
      <c r="AA76" s="1">
        <f t="shared" si="32"/>
        <v>119.48469387755101</v>
      </c>
      <c r="AB76" s="254">
        <f t="shared" si="29"/>
        <v>0</v>
      </c>
      <c r="AC76" s="254">
        <f t="shared" si="19"/>
        <v>4.1896638233818367E-2</v>
      </c>
      <c r="AD76" s="78">
        <f t="shared" si="11"/>
        <v>2.7688047992616522E-3</v>
      </c>
      <c r="AE76" s="253">
        <f t="shared" si="13"/>
        <v>0.15862068965517243</v>
      </c>
      <c r="AF76" s="173"/>
      <c r="AG76" s="67"/>
    </row>
    <row r="77" spans="1:36" x14ac:dyDescent="0.2">
      <c r="A77" s="238"/>
      <c r="B77" s="5" t="s">
        <v>45</v>
      </c>
      <c r="C77" s="4">
        <v>391</v>
      </c>
      <c r="D77" s="4">
        <v>2856</v>
      </c>
      <c r="E77" s="4">
        <v>808</v>
      </c>
      <c r="F77" s="53">
        <f t="shared" si="33"/>
        <v>3247</v>
      </c>
      <c r="G77" s="27">
        <v>2498</v>
      </c>
      <c r="H77" s="55">
        <f>516-8</f>
        <v>508</v>
      </c>
      <c r="I77" s="117">
        <v>1233</v>
      </c>
      <c r="J77" s="2">
        <v>10367</v>
      </c>
      <c r="K77" s="5">
        <v>18</v>
      </c>
      <c r="L77" s="103">
        <v>613</v>
      </c>
      <c r="M77" s="36">
        <f t="shared" si="30"/>
        <v>17251</v>
      </c>
      <c r="N77" s="37">
        <f t="shared" si="26"/>
        <v>19292</v>
      </c>
      <c r="O77" s="36">
        <v>11673</v>
      </c>
      <c r="P77" s="4">
        <v>1242</v>
      </c>
      <c r="Q77" s="4">
        <v>500</v>
      </c>
      <c r="R77" s="4"/>
      <c r="S77" s="75">
        <f t="shared" si="12"/>
        <v>13415</v>
      </c>
      <c r="T77" s="36">
        <v>9</v>
      </c>
      <c r="U77" s="4">
        <v>19</v>
      </c>
      <c r="V77" s="4">
        <v>109</v>
      </c>
      <c r="W77" s="212">
        <v>0</v>
      </c>
      <c r="X77" s="9">
        <f t="shared" si="31"/>
        <v>137</v>
      </c>
      <c r="Y77" s="161">
        <f t="shared" si="9"/>
        <v>32844</v>
      </c>
      <c r="Z77" s="244">
        <f t="shared" si="28"/>
        <v>4.3339343899275566E-3</v>
      </c>
      <c r="AA77" s="1">
        <f>1/Z77</f>
        <v>230.73722627737229</v>
      </c>
      <c r="AB77" s="249">
        <f t="shared" si="29"/>
        <v>4.0784882403589067E-4</v>
      </c>
      <c r="AC77" s="249">
        <f t="shared" si="19"/>
        <v>3.9857352632683028E-3</v>
      </c>
      <c r="AD77" s="78">
        <f t="shared" si="11"/>
        <v>2.8889477869069705E-2</v>
      </c>
      <c r="AE77" s="253">
        <f t="shared" si="13"/>
        <v>0</v>
      </c>
      <c r="AF77" s="173"/>
    </row>
    <row r="78" spans="1:36" x14ac:dyDescent="0.2">
      <c r="A78" s="238"/>
      <c r="B78" s="5" t="s">
        <v>46</v>
      </c>
      <c r="C78" s="4">
        <v>518</v>
      </c>
      <c r="D78" s="4">
        <v>3085</v>
      </c>
      <c r="E78" s="4">
        <v>686</v>
      </c>
      <c r="F78" s="53">
        <f t="shared" si="33"/>
        <v>3603</v>
      </c>
      <c r="G78" s="27">
        <v>2015</v>
      </c>
      <c r="H78" s="55">
        <v>362</v>
      </c>
      <c r="I78" s="127">
        <v>1431</v>
      </c>
      <c r="J78" s="36">
        <v>9213</v>
      </c>
      <c r="K78" s="5">
        <v>20</v>
      </c>
      <c r="L78" s="103">
        <v>944</v>
      </c>
      <c r="M78" s="36">
        <f t="shared" si="30"/>
        <v>16157</v>
      </c>
      <c r="N78" s="37">
        <f t="shared" si="26"/>
        <v>18274</v>
      </c>
      <c r="O78" s="36">
        <v>11910</v>
      </c>
      <c r="P78" s="4">
        <v>1131</v>
      </c>
      <c r="Q78" s="4">
        <v>750</v>
      </c>
      <c r="R78" s="4"/>
      <c r="S78" s="75">
        <f t="shared" si="12"/>
        <v>13791</v>
      </c>
      <c r="T78" s="36">
        <v>5</v>
      </c>
      <c r="U78" s="4">
        <v>91</v>
      </c>
      <c r="V78" s="4">
        <v>3</v>
      </c>
      <c r="W78" s="212">
        <v>7</v>
      </c>
      <c r="X78" s="9">
        <f t="shared" si="31"/>
        <v>106</v>
      </c>
      <c r="Y78" s="161">
        <f t="shared" si="9"/>
        <v>32171</v>
      </c>
      <c r="Z78" s="244">
        <f t="shared" si="28"/>
        <v>3.4482758620689655E-3</v>
      </c>
      <c r="AA78" s="1">
        <f>1/Z78</f>
        <v>290</v>
      </c>
      <c r="AB78" s="249">
        <f t="shared" si="29"/>
        <v>2.364289767353887E-4</v>
      </c>
      <c r="AC78" s="249">
        <f t="shared" si="19"/>
        <v>2.0924350425385145E-2</v>
      </c>
      <c r="AD78" s="78">
        <f t="shared" si="11"/>
        <v>7.9491255961844202E-4</v>
      </c>
      <c r="AE78" s="253">
        <f t="shared" si="13"/>
        <v>1.3333333333333334E-2</v>
      </c>
      <c r="AF78" s="173"/>
    </row>
    <row r="79" spans="1:36" x14ac:dyDescent="0.2">
      <c r="A79" s="238"/>
      <c r="B79" s="5" t="s">
        <v>47</v>
      </c>
      <c r="C79" s="4">
        <v>500</v>
      </c>
      <c r="D79" s="4">
        <v>1123</v>
      </c>
      <c r="E79" s="4">
        <v>735</v>
      </c>
      <c r="F79" s="53">
        <f t="shared" si="33"/>
        <v>1623</v>
      </c>
      <c r="G79" s="27">
        <v>1232</v>
      </c>
      <c r="H79" s="55">
        <v>193</v>
      </c>
      <c r="I79" s="128">
        <v>930</v>
      </c>
      <c r="J79" s="27">
        <v>8435</v>
      </c>
      <c r="K79" s="5">
        <v>275</v>
      </c>
      <c r="L79" s="103">
        <v>538</v>
      </c>
      <c r="M79" s="36">
        <f t="shared" si="30"/>
        <v>12296</v>
      </c>
      <c r="N79" s="37">
        <f t="shared" si="26"/>
        <v>13961</v>
      </c>
      <c r="O79" s="36">
        <v>6401</v>
      </c>
      <c r="P79" s="4">
        <v>719</v>
      </c>
      <c r="Q79" s="4">
        <v>501</v>
      </c>
      <c r="R79" s="4"/>
      <c r="S79" s="75">
        <f t="shared" si="12"/>
        <v>7621</v>
      </c>
      <c r="T79" s="36">
        <v>0</v>
      </c>
      <c r="U79" s="4">
        <v>279</v>
      </c>
      <c r="V79" s="4">
        <v>100</v>
      </c>
      <c r="W79" s="212">
        <v>11</v>
      </c>
      <c r="X79" s="9">
        <f t="shared" si="31"/>
        <v>390</v>
      </c>
      <c r="Y79" s="161">
        <f t="shared" si="9"/>
        <v>21972</v>
      </c>
      <c r="Z79" s="244">
        <f t="shared" si="28"/>
        <v>1.8534359851725121E-2</v>
      </c>
      <c r="AA79" s="1">
        <f>1/Z79</f>
        <v>53.95384615384615</v>
      </c>
      <c r="AB79" s="249">
        <f t="shared" si="29"/>
        <v>0</v>
      </c>
      <c r="AC79" s="249">
        <f t="shared" si="19"/>
        <v>9.5417236662106705E-2</v>
      </c>
      <c r="AD79" s="78">
        <f t="shared" si="11"/>
        <v>5.1072522982635343E-2</v>
      </c>
      <c r="AE79" s="253">
        <f t="shared" si="13"/>
        <v>2.1526418786692758E-2</v>
      </c>
      <c r="AF79" s="173"/>
      <c r="AG79" s="30"/>
      <c r="AH79" s="30"/>
      <c r="AI79" s="30"/>
      <c r="AJ79" s="30"/>
    </row>
    <row r="80" spans="1:36" x14ac:dyDescent="0.2">
      <c r="A80" s="240"/>
      <c r="B80" s="5" t="s">
        <v>48</v>
      </c>
      <c r="C80" s="4">
        <v>694</v>
      </c>
      <c r="D80" s="4">
        <v>1528</v>
      </c>
      <c r="E80" s="4">
        <v>626</v>
      </c>
      <c r="F80" s="53">
        <f t="shared" si="33"/>
        <v>2222</v>
      </c>
      <c r="G80" s="27">
        <v>589</v>
      </c>
      <c r="H80" s="57">
        <v>97</v>
      </c>
      <c r="I80" s="129">
        <v>735</v>
      </c>
      <c r="J80" s="27">
        <v>6217</v>
      </c>
      <c r="K80" s="5">
        <v>33</v>
      </c>
      <c r="L80" s="103">
        <v>454</v>
      </c>
      <c r="M80" s="36">
        <f t="shared" si="30"/>
        <v>9612</v>
      </c>
      <c r="N80" s="37">
        <f t="shared" si="26"/>
        <v>10973</v>
      </c>
      <c r="O80" s="36">
        <v>3765</v>
      </c>
      <c r="P80" s="4">
        <v>183</v>
      </c>
      <c r="Q80" s="4">
        <v>88</v>
      </c>
      <c r="R80" s="4"/>
      <c r="S80" s="75">
        <f t="shared" si="12"/>
        <v>4036</v>
      </c>
      <c r="T80" s="36">
        <v>0</v>
      </c>
      <c r="U80" s="4">
        <v>47</v>
      </c>
      <c r="V80" s="4">
        <v>129</v>
      </c>
      <c r="W80" s="212">
        <v>110</v>
      </c>
      <c r="X80" s="9">
        <f t="shared" si="31"/>
        <v>286</v>
      </c>
      <c r="Y80" s="161">
        <f t="shared" si="9"/>
        <v>15295</v>
      </c>
      <c r="Z80" s="244">
        <f t="shared" si="28"/>
        <v>1.9642857142857142E-2</v>
      </c>
      <c r="AA80" s="1">
        <f>1/Z80</f>
        <v>50.909090909090914</v>
      </c>
      <c r="AB80" s="249">
        <f t="shared" si="29"/>
        <v>0</v>
      </c>
      <c r="AC80" s="249">
        <f t="shared" si="19"/>
        <v>4.6812749003984064E-2</v>
      </c>
      <c r="AD80" s="78">
        <f t="shared" si="11"/>
        <v>5.6504599211563734E-2</v>
      </c>
      <c r="AE80" s="253">
        <f t="shared" si="13"/>
        <v>0.13681592039800994</v>
      </c>
      <c r="AF80" s="173"/>
    </row>
    <row r="81" spans="1:36" s="3" customFormat="1" x14ac:dyDescent="0.2">
      <c r="A81" s="236"/>
      <c r="B81" s="211" t="s">
        <v>69</v>
      </c>
      <c r="C81" s="72">
        <f>SUM(C69:C80)</f>
        <v>2687</v>
      </c>
      <c r="D81" s="72">
        <f t="shared" ref="D81:F81" si="34">SUM(D69:D80)</f>
        <v>23416</v>
      </c>
      <c r="E81" s="72">
        <f t="shared" si="34"/>
        <v>6346</v>
      </c>
      <c r="F81" s="72">
        <f t="shared" si="34"/>
        <v>26103</v>
      </c>
      <c r="G81" s="71">
        <f>SUM(G69:G80)</f>
        <v>11469</v>
      </c>
      <c r="H81" s="84">
        <f t="shared" ref="H81" si="35">SUM(H69:H80)</f>
        <v>3405</v>
      </c>
      <c r="I81" s="115">
        <f>SUM(I69:I80)</f>
        <v>9816</v>
      </c>
      <c r="J81" s="29">
        <f>SUM(J69:J80)</f>
        <v>62445</v>
      </c>
      <c r="K81" s="29">
        <f>SUM(K69:K80)</f>
        <v>412</v>
      </c>
      <c r="L81" s="108">
        <f>SUM(L69:L80)</f>
        <v>7409</v>
      </c>
      <c r="M81" s="29">
        <f t="shared" si="30"/>
        <v>111243</v>
      </c>
      <c r="N81" s="38">
        <f t="shared" si="26"/>
        <v>127405</v>
      </c>
      <c r="O81" s="71">
        <f t="shared" ref="O81:P81" si="36">SUM(O69:O80)</f>
        <v>60543</v>
      </c>
      <c r="P81" s="71">
        <f t="shared" si="36"/>
        <v>9225</v>
      </c>
      <c r="Q81" s="20">
        <f>SUM(Q69:Q80)</f>
        <v>4177</v>
      </c>
      <c r="R81" s="20"/>
      <c r="S81" s="85">
        <f t="shared" si="12"/>
        <v>73945</v>
      </c>
      <c r="T81" s="44">
        <f t="shared" ref="T81" si="37">SUM(T69:T80)</f>
        <v>71</v>
      </c>
      <c r="U81" s="60">
        <f>SUM(U69:U80)</f>
        <v>1262</v>
      </c>
      <c r="V81" s="60">
        <f>SUM(V69:V80)</f>
        <v>552</v>
      </c>
      <c r="W81" s="60">
        <f>SUM(W69:W80)</f>
        <v>210</v>
      </c>
      <c r="X81" s="41">
        <f t="shared" si="31"/>
        <v>2095</v>
      </c>
      <c r="Y81" s="162">
        <f t="shared" ref="Y81:Y107" si="38">SUM(N81,S81,X81)</f>
        <v>203445</v>
      </c>
      <c r="Z81" s="245">
        <f t="shared" si="28"/>
        <v>1.0819660278160812E-2</v>
      </c>
      <c r="AA81" s="214">
        <f t="shared" si="32"/>
        <v>92.42434367541766</v>
      </c>
      <c r="AB81" s="256">
        <f t="shared" ref="AB81" si="39">T81/(J81+K81+L81+O81+T81)</f>
        <v>5.4248166259168707E-4</v>
      </c>
      <c r="AC81" s="256">
        <f t="shared" si="19"/>
        <v>4.2724625905613108E-2</v>
      </c>
      <c r="AD81" s="251">
        <f t="shared" ref="AD81:AD107" si="40">V81/(D81+E81+V81)</f>
        <v>1.8209408194233688E-2</v>
      </c>
      <c r="AE81" s="252">
        <f t="shared" ref="AE81:AE107" si="41">W81/(C81+W81)</f>
        <v>7.2488781498101479E-2</v>
      </c>
      <c r="AF81" s="172"/>
    </row>
    <row r="82" spans="1:36" s="3" customFormat="1" x14ac:dyDescent="0.2">
      <c r="A82" s="237">
        <v>2020</v>
      </c>
      <c r="B82" s="68" t="s">
        <v>37</v>
      </c>
      <c r="C82" s="4">
        <v>708</v>
      </c>
      <c r="D82" s="4">
        <v>1142</v>
      </c>
      <c r="E82" s="4">
        <v>515</v>
      </c>
      <c r="F82" s="53">
        <f>SUM(C82:D82)</f>
        <v>1850</v>
      </c>
      <c r="G82" s="32">
        <v>1342</v>
      </c>
      <c r="H82" s="55">
        <f>254+47</f>
        <v>301</v>
      </c>
      <c r="I82" s="117">
        <v>670</v>
      </c>
      <c r="J82" s="92">
        <v>3228</v>
      </c>
      <c r="K82" s="134">
        <v>0</v>
      </c>
      <c r="L82" s="140">
        <v>495</v>
      </c>
      <c r="M82" s="95">
        <f t="shared" ref="M82:M93" si="42">SUM(F82,G82,H82,J82,K82)</f>
        <v>6721</v>
      </c>
      <c r="N82" s="37">
        <f>SUM(C82+D82+E82+G82+H82+I82+J82+K82+L82)</f>
        <v>8401</v>
      </c>
      <c r="O82" s="36">
        <v>4067</v>
      </c>
      <c r="P82" s="4">
        <v>1072</v>
      </c>
      <c r="Q82" s="36">
        <v>316</v>
      </c>
      <c r="R82" s="4">
        <v>828</v>
      </c>
      <c r="S82" s="75">
        <f t="shared" ref="S82:S120" si="43">SUM(O82:R82)</f>
        <v>6283</v>
      </c>
      <c r="T82" s="27">
        <v>68</v>
      </c>
      <c r="U82" s="4">
        <v>6</v>
      </c>
      <c r="V82" s="4">
        <v>49</v>
      </c>
      <c r="W82" s="212">
        <v>2</v>
      </c>
      <c r="X82" s="9">
        <f t="shared" si="31"/>
        <v>125</v>
      </c>
      <c r="Y82" s="161">
        <f t="shared" si="38"/>
        <v>14809</v>
      </c>
      <c r="Z82" s="244">
        <f>X82/Y82</f>
        <v>8.4408130191100002E-3</v>
      </c>
      <c r="AA82" s="24">
        <f t="shared" si="32"/>
        <v>118.47200000000001</v>
      </c>
      <c r="AB82" s="249">
        <f>T82/(J82+O82+T82)</f>
        <v>9.2353660192856166E-3</v>
      </c>
      <c r="AC82" s="254">
        <f t="shared" si="19"/>
        <v>1.975633849193283E-3</v>
      </c>
      <c r="AD82" s="78">
        <f t="shared" si="40"/>
        <v>2.8722157092614303E-2</v>
      </c>
      <c r="AE82" s="253">
        <f t="shared" si="41"/>
        <v>2.8169014084507044E-3</v>
      </c>
      <c r="AF82" s="173"/>
    </row>
    <row r="83" spans="1:36" x14ac:dyDescent="0.2">
      <c r="A83" s="238"/>
      <c r="B83" s="68" t="s">
        <v>38</v>
      </c>
      <c r="C83" s="4">
        <v>473</v>
      </c>
      <c r="D83" s="4">
        <v>1248</v>
      </c>
      <c r="E83" s="4">
        <v>454</v>
      </c>
      <c r="F83" s="53">
        <f t="shared" ref="F83:F93" si="44">SUM(C83:D83)</f>
        <v>1721</v>
      </c>
      <c r="G83" s="32">
        <v>1211</v>
      </c>
      <c r="H83" s="55">
        <f>299+283+106</f>
        <v>688</v>
      </c>
      <c r="I83" s="117">
        <v>752</v>
      </c>
      <c r="J83" s="92">
        <v>2092</v>
      </c>
      <c r="K83" s="134"/>
      <c r="L83" s="140">
        <v>494</v>
      </c>
      <c r="M83" s="95">
        <f t="shared" si="42"/>
        <v>5712</v>
      </c>
      <c r="N83" s="37">
        <f t="shared" si="26"/>
        <v>7412</v>
      </c>
      <c r="O83" s="36">
        <v>2079</v>
      </c>
      <c r="P83" s="4">
        <v>1109</v>
      </c>
      <c r="Q83" s="36">
        <v>571</v>
      </c>
      <c r="R83" s="4">
        <v>468</v>
      </c>
      <c r="S83" s="75">
        <f t="shared" si="43"/>
        <v>4227</v>
      </c>
      <c r="T83" s="36">
        <v>0</v>
      </c>
      <c r="U83" s="4">
        <v>110</v>
      </c>
      <c r="V83" s="4">
        <v>9</v>
      </c>
      <c r="W83" s="212">
        <v>26</v>
      </c>
      <c r="X83" s="9">
        <f t="shared" si="31"/>
        <v>145</v>
      </c>
      <c r="Y83" s="161">
        <f t="shared" si="38"/>
        <v>11784</v>
      </c>
      <c r="Z83" s="244">
        <f t="shared" ref="Z83:Z120" si="45">X83/Y83</f>
        <v>1.2304820095044128E-2</v>
      </c>
      <c r="AA83" s="24">
        <f t="shared" si="32"/>
        <v>81.268965517241369</v>
      </c>
      <c r="AB83" s="249">
        <f t="shared" ref="AB83:AB94" si="46">T83/(J83+O83+T83)</f>
        <v>0</v>
      </c>
      <c r="AC83" s="254">
        <f t="shared" si="19"/>
        <v>2.9818378964489023E-2</v>
      </c>
      <c r="AD83" s="78">
        <f t="shared" si="40"/>
        <v>5.2600818234950324E-3</v>
      </c>
      <c r="AE83" s="253">
        <f t="shared" si="41"/>
        <v>5.2104208416833664E-2</v>
      </c>
      <c r="AF83" s="173"/>
      <c r="AG83" s="3"/>
      <c r="AH83" s="3"/>
    </row>
    <row r="84" spans="1:36" x14ac:dyDescent="0.2">
      <c r="A84" s="238"/>
      <c r="B84" s="68" t="s">
        <v>58</v>
      </c>
      <c r="C84" s="4">
        <v>296</v>
      </c>
      <c r="D84" s="4">
        <v>466</v>
      </c>
      <c r="E84" s="4">
        <v>171</v>
      </c>
      <c r="F84" s="53">
        <f t="shared" si="44"/>
        <v>762</v>
      </c>
      <c r="G84" s="50">
        <v>241</v>
      </c>
      <c r="H84" s="55">
        <v>146</v>
      </c>
      <c r="I84" s="117">
        <v>316</v>
      </c>
      <c r="J84" s="92">
        <v>1998</v>
      </c>
      <c r="K84" s="134"/>
      <c r="L84" s="140">
        <v>494</v>
      </c>
      <c r="M84" s="95">
        <f t="shared" si="42"/>
        <v>3147</v>
      </c>
      <c r="N84" s="37">
        <f t="shared" si="26"/>
        <v>4128</v>
      </c>
      <c r="O84" s="36">
        <v>2907</v>
      </c>
      <c r="P84" s="4">
        <v>630</v>
      </c>
      <c r="Q84" s="36">
        <v>137</v>
      </c>
      <c r="R84" s="4">
        <v>16</v>
      </c>
      <c r="S84" s="75">
        <f t="shared" si="43"/>
        <v>3690</v>
      </c>
      <c r="T84" s="36">
        <v>4</v>
      </c>
      <c r="U84" s="4">
        <v>20</v>
      </c>
      <c r="V84" s="4">
        <v>11</v>
      </c>
      <c r="W84" s="212">
        <v>48</v>
      </c>
      <c r="X84" s="9">
        <f t="shared" si="31"/>
        <v>83</v>
      </c>
      <c r="Y84" s="161">
        <f t="shared" si="38"/>
        <v>7901</v>
      </c>
      <c r="Z84" s="244">
        <f t="shared" si="45"/>
        <v>1.0504999367168713E-2</v>
      </c>
      <c r="AA84" s="24">
        <f t="shared" si="32"/>
        <v>95.192771084337352</v>
      </c>
      <c r="AB84" s="249">
        <f t="shared" si="46"/>
        <v>8.1482990425748626E-4</v>
      </c>
      <c r="AC84" s="254">
        <f t="shared" si="19"/>
        <v>1.7035775127768313E-2</v>
      </c>
      <c r="AD84" s="78">
        <f t="shared" si="40"/>
        <v>1.6975308641975308E-2</v>
      </c>
      <c r="AE84" s="253">
        <f t="shared" si="41"/>
        <v>0.13953488372093023</v>
      </c>
      <c r="AF84" s="173"/>
      <c r="AG84" s="42" t="s">
        <v>70</v>
      </c>
      <c r="AH84" s="86"/>
      <c r="AI84" s="86"/>
      <c r="AJ84" s="6"/>
    </row>
    <row r="85" spans="1:36" x14ac:dyDescent="0.2">
      <c r="A85" s="238"/>
      <c r="B85" s="68" t="s">
        <v>59</v>
      </c>
      <c r="C85" s="4">
        <v>459</v>
      </c>
      <c r="D85" s="4">
        <v>276</v>
      </c>
      <c r="E85" s="4">
        <v>89</v>
      </c>
      <c r="F85" s="53">
        <f t="shared" si="44"/>
        <v>735</v>
      </c>
      <c r="G85" s="32">
        <v>671</v>
      </c>
      <c r="H85" s="55">
        <v>66</v>
      </c>
      <c r="I85" s="117">
        <v>38</v>
      </c>
      <c r="J85" s="92">
        <v>39</v>
      </c>
      <c r="K85" s="134"/>
      <c r="L85" s="140">
        <v>494</v>
      </c>
      <c r="M85" s="95">
        <f t="shared" si="42"/>
        <v>1511</v>
      </c>
      <c r="N85" s="37">
        <f t="shared" si="26"/>
        <v>2132</v>
      </c>
      <c r="O85" s="36">
        <v>253</v>
      </c>
      <c r="P85" s="4">
        <v>395</v>
      </c>
      <c r="Q85" s="36">
        <v>99</v>
      </c>
      <c r="R85" s="4">
        <v>3</v>
      </c>
      <c r="S85" s="75">
        <f t="shared" si="43"/>
        <v>750</v>
      </c>
      <c r="T85" s="36">
        <v>0</v>
      </c>
      <c r="U85" s="4">
        <v>18</v>
      </c>
      <c r="V85" s="4">
        <v>1</v>
      </c>
      <c r="W85" s="212">
        <v>41</v>
      </c>
      <c r="X85" s="9">
        <f t="shared" si="31"/>
        <v>60</v>
      </c>
      <c r="Y85" s="161">
        <f t="shared" si="38"/>
        <v>2942</v>
      </c>
      <c r="Z85" s="244">
        <f t="shared" si="45"/>
        <v>2.0394289598912305E-2</v>
      </c>
      <c r="AA85" s="24">
        <f t="shared" si="32"/>
        <v>49.033333333333331</v>
      </c>
      <c r="AB85" s="249">
        <f t="shared" si="46"/>
        <v>0</v>
      </c>
      <c r="AC85" s="254">
        <f t="shared" si="19"/>
        <v>1.4411529223378704E-2</v>
      </c>
      <c r="AD85" s="78">
        <f t="shared" si="40"/>
        <v>2.7322404371584699E-3</v>
      </c>
      <c r="AE85" s="253">
        <f t="shared" si="41"/>
        <v>8.2000000000000003E-2</v>
      </c>
      <c r="AF85" s="173"/>
      <c r="AG85" s="87" t="s">
        <v>52</v>
      </c>
      <c r="AH85" t="s">
        <v>53</v>
      </c>
      <c r="AI85" t="s">
        <v>54</v>
      </c>
      <c r="AJ85" s="88" t="s">
        <v>55</v>
      </c>
    </row>
    <row r="86" spans="1:36" x14ac:dyDescent="0.2">
      <c r="A86" s="238"/>
      <c r="B86" s="68" t="s">
        <v>41</v>
      </c>
      <c r="C86" s="4">
        <v>539</v>
      </c>
      <c r="D86" s="4">
        <v>545</v>
      </c>
      <c r="E86" s="4">
        <v>21</v>
      </c>
      <c r="F86" s="53">
        <f t="shared" si="44"/>
        <v>1084</v>
      </c>
      <c r="G86" s="32">
        <v>1654</v>
      </c>
      <c r="H86" s="55">
        <v>54</v>
      </c>
      <c r="I86" s="117">
        <v>61</v>
      </c>
      <c r="J86" s="92">
        <v>230</v>
      </c>
      <c r="K86" s="134"/>
      <c r="L86" s="140">
        <v>494</v>
      </c>
      <c r="M86" s="95">
        <f t="shared" si="42"/>
        <v>3022</v>
      </c>
      <c r="N86" s="37">
        <f t="shared" si="26"/>
        <v>3598</v>
      </c>
      <c r="O86" s="36">
        <v>605</v>
      </c>
      <c r="P86" s="4">
        <v>774</v>
      </c>
      <c r="Q86" s="36">
        <v>1243</v>
      </c>
      <c r="R86" s="4">
        <v>161</v>
      </c>
      <c r="S86" s="75">
        <f t="shared" si="43"/>
        <v>2783</v>
      </c>
      <c r="T86" s="36">
        <v>0</v>
      </c>
      <c r="U86" s="4">
        <v>11</v>
      </c>
      <c r="V86" s="4">
        <v>1</v>
      </c>
      <c r="W86" s="212">
        <v>7</v>
      </c>
      <c r="X86" s="9">
        <f t="shared" si="31"/>
        <v>19</v>
      </c>
      <c r="Y86" s="161">
        <f t="shared" si="38"/>
        <v>6400</v>
      </c>
      <c r="Z86" s="244">
        <f t="shared" si="45"/>
        <v>2.96875E-3</v>
      </c>
      <c r="AA86" s="24">
        <f t="shared" si="32"/>
        <v>336.84210526315792</v>
      </c>
      <c r="AB86" s="249">
        <f t="shared" si="46"/>
        <v>0</v>
      </c>
      <c r="AC86" s="254">
        <f t="shared" si="19"/>
        <v>2.9443254817987153E-3</v>
      </c>
      <c r="AD86" s="78">
        <f t="shared" si="40"/>
        <v>1.7636684303350969E-3</v>
      </c>
      <c r="AE86" s="253">
        <f t="shared" si="41"/>
        <v>1.282051282051282E-2</v>
      </c>
      <c r="AF86" s="173"/>
      <c r="AG86" s="89">
        <v>3.5000000000000001E-3</v>
      </c>
      <c r="AH86" s="90">
        <v>1.4800000000000001E-2</v>
      </c>
      <c r="AI86" s="90">
        <v>5.7999999999999996E-3</v>
      </c>
      <c r="AJ86" s="91">
        <v>8.0999999999999996E-3</v>
      </c>
    </row>
    <row r="87" spans="1:36" x14ac:dyDescent="0.2">
      <c r="A87" s="238"/>
      <c r="B87" s="5" t="s">
        <v>42</v>
      </c>
      <c r="C87" s="4">
        <v>225</v>
      </c>
      <c r="D87" s="4">
        <v>837</v>
      </c>
      <c r="E87" s="4">
        <v>82</v>
      </c>
      <c r="F87" s="53">
        <f t="shared" si="44"/>
        <v>1062</v>
      </c>
      <c r="G87" s="131">
        <v>1831</v>
      </c>
      <c r="H87" s="132">
        <v>425</v>
      </c>
      <c r="I87" s="117">
        <v>190</v>
      </c>
      <c r="J87" s="93">
        <v>269</v>
      </c>
      <c r="K87" s="140">
        <v>30</v>
      </c>
      <c r="L87" s="140">
        <v>494</v>
      </c>
      <c r="M87" s="95">
        <f t="shared" si="42"/>
        <v>3617</v>
      </c>
      <c r="N87" s="37">
        <f t="shared" si="26"/>
        <v>4383</v>
      </c>
      <c r="O87" s="36">
        <v>1816</v>
      </c>
      <c r="P87" s="4">
        <v>1496</v>
      </c>
      <c r="Q87" s="36">
        <v>1611</v>
      </c>
      <c r="R87" s="4">
        <v>461</v>
      </c>
      <c r="S87" s="75">
        <f t="shared" si="43"/>
        <v>5384</v>
      </c>
      <c r="T87" s="36">
        <v>4</v>
      </c>
      <c r="U87" s="4">
        <v>89</v>
      </c>
      <c r="V87" s="4">
        <v>6</v>
      </c>
      <c r="W87" s="212">
        <v>0</v>
      </c>
      <c r="X87" s="9">
        <f t="shared" si="31"/>
        <v>99</v>
      </c>
      <c r="Y87" s="161">
        <f t="shared" si="38"/>
        <v>9866</v>
      </c>
      <c r="Z87" s="244">
        <f t="shared" si="45"/>
        <v>1.0034461787958646E-2</v>
      </c>
      <c r="AA87" s="24">
        <f t="shared" si="32"/>
        <v>99.656565656565661</v>
      </c>
      <c r="AB87" s="249">
        <f t="shared" si="46"/>
        <v>1.9147917663954045E-3</v>
      </c>
      <c r="AC87" s="254">
        <f t="shared" si="19"/>
        <v>1.6324284666177549E-2</v>
      </c>
      <c r="AD87" s="78">
        <f t="shared" si="40"/>
        <v>6.4864864864864862E-3</v>
      </c>
      <c r="AE87" s="253">
        <f t="shared" si="41"/>
        <v>0</v>
      </c>
      <c r="AF87" s="173"/>
      <c r="AG87" s="30"/>
      <c r="AH87" s="30"/>
      <c r="AI87" s="30"/>
      <c r="AJ87" s="30"/>
    </row>
    <row r="88" spans="1:36" s="48" customFormat="1" x14ac:dyDescent="0.2">
      <c r="A88" s="239"/>
      <c r="B88" s="213" t="s">
        <v>43</v>
      </c>
      <c r="C88" s="4">
        <v>569</v>
      </c>
      <c r="D88" s="4">
        <v>2074</v>
      </c>
      <c r="E88" s="4">
        <v>51</v>
      </c>
      <c r="F88" s="53">
        <f t="shared" si="44"/>
        <v>2643</v>
      </c>
      <c r="G88" s="51">
        <v>7067</v>
      </c>
      <c r="H88" s="46">
        <f>134+94+33</f>
        <v>261</v>
      </c>
      <c r="I88" s="120">
        <v>257</v>
      </c>
      <c r="J88" s="26">
        <v>317</v>
      </c>
      <c r="K88" s="134"/>
      <c r="L88" s="134"/>
      <c r="M88" s="95">
        <f t="shared" si="42"/>
        <v>10288</v>
      </c>
      <c r="N88" s="37">
        <f t="shared" si="26"/>
        <v>10596</v>
      </c>
      <c r="O88" s="47">
        <v>1493</v>
      </c>
      <c r="P88" s="4">
        <v>1143</v>
      </c>
      <c r="Q88" s="47">
        <v>2918</v>
      </c>
      <c r="R88" s="31">
        <v>588</v>
      </c>
      <c r="S88" s="75">
        <f t="shared" si="43"/>
        <v>6142</v>
      </c>
      <c r="T88" s="47">
        <v>0</v>
      </c>
      <c r="U88" s="31">
        <v>67</v>
      </c>
      <c r="V88" s="31">
        <v>20</v>
      </c>
      <c r="W88" s="212">
        <v>113</v>
      </c>
      <c r="X88" s="9">
        <f t="shared" si="31"/>
        <v>200</v>
      </c>
      <c r="Y88" s="161">
        <f t="shared" si="38"/>
        <v>16938</v>
      </c>
      <c r="Z88" s="244">
        <f t="shared" si="45"/>
        <v>1.180776951233912E-2</v>
      </c>
      <c r="AA88" s="24">
        <f t="shared" si="32"/>
        <v>84.69</v>
      </c>
      <c r="AB88" s="249">
        <f t="shared" si="46"/>
        <v>0</v>
      </c>
      <c r="AC88" s="254">
        <f t="shared" si="19"/>
        <v>5.8484636871508379E-3</v>
      </c>
      <c r="AD88" s="78">
        <f t="shared" si="40"/>
        <v>9.324009324009324E-3</v>
      </c>
      <c r="AE88" s="253">
        <f t="shared" si="41"/>
        <v>0.16568914956011729</v>
      </c>
      <c r="AF88" s="173"/>
      <c r="AG88" s="67"/>
    </row>
    <row r="89" spans="1:36" x14ac:dyDescent="0.2">
      <c r="A89" s="238"/>
      <c r="B89" s="5" t="s">
        <v>44</v>
      </c>
      <c r="C89" s="4">
        <v>664</v>
      </c>
      <c r="D89" s="4">
        <v>2011</v>
      </c>
      <c r="E89" s="4">
        <v>61</v>
      </c>
      <c r="F89" s="53">
        <f t="shared" si="44"/>
        <v>2675</v>
      </c>
      <c r="G89" s="27">
        <v>5326</v>
      </c>
      <c r="H89" s="55">
        <v>71</v>
      </c>
      <c r="I89" s="117">
        <v>624</v>
      </c>
      <c r="J89" s="2">
        <v>454</v>
      </c>
      <c r="K89" s="134"/>
      <c r="L89" s="134"/>
      <c r="M89" s="95">
        <f t="shared" si="42"/>
        <v>8526</v>
      </c>
      <c r="N89" s="37">
        <f t="shared" si="26"/>
        <v>9211</v>
      </c>
      <c r="O89" s="36">
        <v>1838</v>
      </c>
      <c r="P89" s="4">
        <v>1362</v>
      </c>
      <c r="Q89" s="36">
        <v>1621</v>
      </c>
      <c r="R89" s="4">
        <v>1012</v>
      </c>
      <c r="S89" s="75">
        <f t="shared" si="43"/>
        <v>5833</v>
      </c>
      <c r="T89" s="36">
        <v>2</v>
      </c>
      <c r="U89" s="4">
        <v>110</v>
      </c>
      <c r="V89" s="4">
        <v>29</v>
      </c>
      <c r="W89" s="212">
        <v>89</v>
      </c>
      <c r="X89" s="9">
        <f t="shared" si="31"/>
        <v>230</v>
      </c>
      <c r="Y89" s="163">
        <f t="shared" si="38"/>
        <v>15274</v>
      </c>
      <c r="Z89" s="244">
        <f t="shared" si="45"/>
        <v>1.5058268953777661E-2</v>
      </c>
      <c r="AA89" s="24">
        <f t="shared" si="32"/>
        <v>66.408695652173918</v>
      </c>
      <c r="AB89" s="249">
        <f t="shared" si="46"/>
        <v>8.7183958151700091E-4</v>
      </c>
      <c r="AC89" s="254">
        <f t="shared" si="19"/>
        <v>1.2956419316843345E-2</v>
      </c>
      <c r="AD89" s="78">
        <f t="shared" si="40"/>
        <v>1.3802950975725845E-2</v>
      </c>
      <c r="AE89" s="253">
        <f t="shared" si="41"/>
        <v>0.11819389110225764</v>
      </c>
      <c r="AF89" s="173"/>
    </row>
    <row r="90" spans="1:36" x14ac:dyDescent="0.2">
      <c r="A90" s="238"/>
      <c r="B90" s="5" t="s">
        <v>45</v>
      </c>
      <c r="C90" s="4">
        <v>2148</v>
      </c>
      <c r="D90" s="4">
        <v>2896</v>
      </c>
      <c r="E90" s="4">
        <v>25</v>
      </c>
      <c r="F90" s="53">
        <f t="shared" si="44"/>
        <v>5044</v>
      </c>
      <c r="G90" s="27">
        <v>4386</v>
      </c>
      <c r="H90" s="55">
        <v>150</v>
      </c>
      <c r="I90" s="117">
        <v>703</v>
      </c>
      <c r="J90" s="2">
        <v>90</v>
      </c>
      <c r="K90" s="134"/>
      <c r="L90" s="134"/>
      <c r="M90" s="95">
        <f t="shared" si="42"/>
        <v>9670</v>
      </c>
      <c r="N90" s="37">
        <f t="shared" si="26"/>
        <v>10398</v>
      </c>
      <c r="O90" s="36">
        <v>1373</v>
      </c>
      <c r="P90" s="4">
        <v>1467</v>
      </c>
      <c r="Q90" s="36">
        <v>2035</v>
      </c>
      <c r="R90" s="4">
        <v>1490</v>
      </c>
      <c r="S90" s="75">
        <f t="shared" si="43"/>
        <v>6365</v>
      </c>
      <c r="T90" s="36">
        <v>20</v>
      </c>
      <c r="U90" s="4">
        <v>186</v>
      </c>
      <c r="V90" s="4">
        <v>34</v>
      </c>
      <c r="W90" s="212">
        <v>89</v>
      </c>
      <c r="X90" s="9">
        <f t="shared" si="31"/>
        <v>329</v>
      </c>
      <c r="Y90" s="161">
        <f t="shared" si="38"/>
        <v>17092</v>
      </c>
      <c r="Z90" s="244">
        <f t="shared" si="45"/>
        <v>1.9248771355019893E-2</v>
      </c>
      <c r="AA90" s="24">
        <f t="shared" si="32"/>
        <v>51.951367781155014</v>
      </c>
      <c r="AB90" s="249">
        <f t="shared" si="46"/>
        <v>1.3486176668914362E-2</v>
      </c>
      <c r="AC90" s="254">
        <f t="shared" si="19"/>
        <v>2.2616731517509727E-2</v>
      </c>
      <c r="AD90" s="78">
        <f t="shared" si="40"/>
        <v>1.1505922165820644E-2</v>
      </c>
      <c r="AE90" s="253">
        <f t="shared" si="41"/>
        <v>3.9785426911041574E-2</v>
      </c>
      <c r="AF90" s="173"/>
    </row>
    <row r="91" spans="1:36" x14ac:dyDescent="0.2">
      <c r="A91" s="238"/>
      <c r="B91" s="5" t="s">
        <v>46</v>
      </c>
      <c r="C91" s="4">
        <v>5328</v>
      </c>
      <c r="D91" s="4">
        <v>3140</v>
      </c>
      <c r="E91" s="4">
        <v>38</v>
      </c>
      <c r="F91" s="53">
        <f t="shared" si="44"/>
        <v>8468</v>
      </c>
      <c r="G91" s="27">
        <v>3477</v>
      </c>
      <c r="H91" s="55">
        <v>94</v>
      </c>
      <c r="I91" s="127">
        <v>1042</v>
      </c>
      <c r="J91" s="36">
        <v>84</v>
      </c>
      <c r="K91" s="134"/>
      <c r="L91" s="134"/>
      <c r="M91" s="95">
        <f t="shared" si="42"/>
        <v>12123</v>
      </c>
      <c r="N91" s="37">
        <f t="shared" si="26"/>
        <v>13203</v>
      </c>
      <c r="O91" s="36">
        <v>1519</v>
      </c>
      <c r="P91" s="8">
        <v>575</v>
      </c>
      <c r="Q91" s="36">
        <v>1349</v>
      </c>
      <c r="R91" s="4">
        <v>2280</v>
      </c>
      <c r="S91" s="75">
        <f t="shared" si="43"/>
        <v>5723</v>
      </c>
      <c r="T91" s="36">
        <v>0</v>
      </c>
      <c r="U91" s="4">
        <v>109</v>
      </c>
      <c r="V91" s="4">
        <v>46</v>
      </c>
      <c r="W91" s="212">
        <v>309</v>
      </c>
      <c r="X91" s="9">
        <f t="shared" si="31"/>
        <v>464</v>
      </c>
      <c r="Y91" s="161">
        <f t="shared" si="38"/>
        <v>19390</v>
      </c>
      <c r="Z91" s="244">
        <f t="shared" si="45"/>
        <v>2.3929860752965448E-2</v>
      </c>
      <c r="AA91" s="24">
        <f t="shared" si="32"/>
        <v>41.78879310344827</v>
      </c>
      <c r="AB91" s="249">
        <f t="shared" si="46"/>
        <v>0</v>
      </c>
      <c r="AC91" s="254">
        <f t="shared" si="19"/>
        <v>1.9450392576730906E-2</v>
      </c>
      <c r="AD91" s="78">
        <f t="shared" si="40"/>
        <v>1.4267990074441687E-2</v>
      </c>
      <c r="AE91" s="253">
        <f t="shared" si="41"/>
        <v>5.4816391697711547E-2</v>
      </c>
      <c r="AF91" s="173"/>
      <c r="AG91" s="30"/>
      <c r="AH91" s="30"/>
      <c r="AI91" s="30"/>
      <c r="AJ91" s="30"/>
    </row>
    <row r="92" spans="1:36" x14ac:dyDescent="0.2">
      <c r="A92" s="238"/>
      <c r="B92" s="5" t="s">
        <v>47</v>
      </c>
      <c r="C92" s="4">
        <v>8157</v>
      </c>
      <c r="D92" s="4">
        <v>1455</v>
      </c>
      <c r="E92" s="4">
        <v>50</v>
      </c>
      <c r="F92" s="53">
        <f t="shared" si="44"/>
        <v>9612</v>
      </c>
      <c r="G92" s="27">
        <v>5360</v>
      </c>
      <c r="H92" s="55">
        <v>25</v>
      </c>
      <c r="I92" s="128">
        <v>705</v>
      </c>
      <c r="J92" s="27">
        <v>237</v>
      </c>
      <c r="K92" s="134"/>
      <c r="L92" s="134"/>
      <c r="M92" s="95">
        <f t="shared" si="42"/>
        <v>15234</v>
      </c>
      <c r="N92" s="37">
        <f t="shared" si="26"/>
        <v>15989</v>
      </c>
      <c r="O92" s="36">
        <v>1180</v>
      </c>
      <c r="P92" s="4">
        <v>1742</v>
      </c>
      <c r="Q92" s="36">
        <v>849</v>
      </c>
      <c r="R92" s="4">
        <v>545</v>
      </c>
      <c r="S92" s="75">
        <f t="shared" si="43"/>
        <v>4316</v>
      </c>
      <c r="T92" s="36">
        <v>2</v>
      </c>
      <c r="U92" s="4">
        <v>187</v>
      </c>
      <c r="V92" s="4">
        <v>95</v>
      </c>
      <c r="W92" s="212">
        <v>91</v>
      </c>
      <c r="X92" s="9">
        <f t="shared" si="31"/>
        <v>375</v>
      </c>
      <c r="Y92" s="161">
        <f t="shared" si="38"/>
        <v>20680</v>
      </c>
      <c r="Z92" s="244">
        <f t="shared" si="45"/>
        <v>1.8133462282398451E-2</v>
      </c>
      <c r="AA92" s="24">
        <f t="shared" si="32"/>
        <v>55.146666666666668</v>
      </c>
      <c r="AB92" s="249">
        <f t="shared" si="46"/>
        <v>1.4094432699083862E-3</v>
      </c>
      <c r="AC92" s="254">
        <f t="shared" si="19"/>
        <v>2.2908244517946832E-2</v>
      </c>
      <c r="AD92" s="78">
        <f t="shared" si="40"/>
        <v>5.9374999999999997E-2</v>
      </c>
      <c r="AE92" s="253">
        <f t="shared" si="41"/>
        <v>1.103297769156159E-2</v>
      </c>
      <c r="AF92" s="173"/>
    </row>
    <row r="93" spans="1:36" x14ac:dyDescent="0.2">
      <c r="A93" s="240"/>
      <c r="B93" s="5" t="s">
        <v>48</v>
      </c>
      <c r="C93" s="4">
        <v>3457</v>
      </c>
      <c r="D93" s="4">
        <v>993</v>
      </c>
      <c r="E93" s="4">
        <v>198</v>
      </c>
      <c r="F93" s="53">
        <f t="shared" si="44"/>
        <v>4450</v>
      </c>
      <c r="G93" s="27">
        <v>1591</v>
      </c>
      <c r="H93" s="57">
        <v>0</v>
      </c>
      <c r="I93" s="129">
        <v>189</v>
      </c>
      <c r="J93" s="27">
        <v>252</v>
      </c>
      <c r="K93" s="134"/>
      <c r="L93" s="134"/>
      <c r="M93" s="95">
        <f t="shared" si="42"/>
        <v>6293</v>
      </c>
      <c r="N93" s="37">
        <f t="shared" si="26"/>
        <v>6680</v>
      </c>
      <c r="O93" s="36">
        <v>1250</v>
      </c>
      <c r="P93" s="4">
        <v>126</v>
      </c>
      <c r="Q93" s="36">
        <v>717</v>
      </c>
      <c r="R93" s="4">
        <v>337</v>
      </c>
      <c r="S93" s="75">
        <f t="shared" si="43"/>
        <v>2430</v>
      </c>
      <c r="T93" s="36">
        <v>6</v>
      </c>
      <c r="U93" s="4">
        <v>87</v>
      </c>
      <c r="V93" s="4">
        <v>42</v>
      </c>
      <c r="W93" s="212">
        <v>63</v>
      </c>
      <c r="X93" s="9">
        <f t="shared" si="31"/>
        <v>198</v>
      </c>
      <c r="Y93" s="161">
        <f t="shared" si="38"/>
        <v>9308</v>
      </c>
      <c r="Z93" s="244">
        <f t="shared" si="45"/>
        <v>2.1272024065320156E-2</v>
      </c>
      <c r="AA93" s="24">
        <f t="shared" si="32"/>
        <v>47.01010101010101</v>
      </c>
      <c r="AB93" s="249">
        <f t="shared" si="46"/>
        <v>3.9787798408488064E-3</v>
      </c>
      <c r="AC93" s="254">
        <f t="shared" si="19"/>
        <v>3.451011503371678E-2</v>
      </c>
      <c r="AD93" s="78">
        <f t="shared" si="40"/>
        <v>3.4063260340632603E-2</v>
      </c>
      <c r="AE93" s="253">
        <f t="shared" si="41"/>
        <v>1.7897727272727273E-2</v>
      </c>
      <c r="AF93" s="173"/>
    </row>
    <row r="94" spans="1:36" s="3" customFormat="1" x14ac:dyDescent="0.2">
      <c r="A94" s="236"/>
      <c r="B94" s="211" t="s">
        <v>71</v>
      </c>
      <c r="C94" s="72">
        <f>SUM(C82:C93)</f>
        <v>23023</v>
      </c>
      <c r="D94" s="72">
        <f t="shared" ref="D94:F94" si="47">SUM(D82:D93)</f>
        <v>17083</v>
      </c>
      <c r="E94" s="72">
        <f t="shared" si="47"/>
        <v>1755</v>
      </c>
      <c r="F94" s="72">
        <f t="shared" si="47"/>
        <v>40106</v>
      </c>
      <c r="G94" s="71">
        <f t="shared" ref="G94:W94" si="48">SUM(G82:G93)</f>
        <v>34157</v>
      </c>
      <c r="H94" s="84">
        <f t="shared" si="48"/>
        <v>2281</v>
      </c>
      <c r="I94" s="20">
        <f t="shared" si="48"/>
        <v>5547</v>
      </c>
      <c r="J94" s="29">
        <f t="shared" si="48"/>
        <v>9290</v>
      </c>
      <c r="K94" s="71">
        <f t="shared" si="48"/>
        <v>30</v>
      </c>
      <c r="L94" s="71">
        <f t="shared" si="48"/>
        <v>2965</v>
      </c>
      <c r="M94" s="72">
        <f>SUM(M82:M93)</f>
        <v>85864</v>
      </c>
      <c r="N94" s="38">
        <f t="shared" si="26"/>
        <v>96131</v>
      </c>
      <c r="O94" s="130">
        <f t="shared" si="48"/>
        <v>20380</v>
      </c>
      <c r="P94" s="20">
        <f>SUM(P82:P93)</f>
        <v>11891</v>
      </c>
      <c r="Q94" s="20">
        <f>SUM(Q82:Q93)</f>
        <v>13466</v>
      </c>
      <c r="R94" s="20">
        <f>SUM(R82:R93)</f>
        <v>8189</v>
      </c>
      <c r="S94" s="85">
        <f t="shared" si="43"/>
        <v>53926</v>
      </c>
      <c r="T94" s="44">
        <f t="shared" si="48"/>
        <v>106</v>
      </c>
      <c r="U94" s="60">
        <f t="shared" si="48"/>
        <v>1000</v>
      </c>
      <c r="V94" s="60">
        <f t="shared" si="48"/>
        <v>343</v>
      </c>
      <c r="W94" s="60">
        <f t="shared" si="48"/>
        <v>878</v>
      </c>
      <c r="X94" s="41">
        <f>SUM(T94:W94)</f>
        <v>2327</v>
      </c>
      <c r="Y94" s="162">
        <f t="shared" si="38"/>
        <v>152384</v>
      </c>
      <c r="Z94" s="246">
        <f t="shared" si="45"/>
        <v>1.5270632087358254E-2</v>
      </c>
      <c r="AA94" s="20">
        <f t="shared" si="32"/>
        <v>65.485174043833254</v>
      </c>
      <c r="AB94" s="257">
        <f t="shared" si="46"/>
        <v>3.5599140247178935E-3</v>
      </c>
      <c r="AC94" s="257">
        <f t="shared" si="19"/>
        <v>1.5924834779839161E-2</v>
      </c>
      <c r="AD94" s="257">
        <f t="shared" si="40"/>
        <v>1.788227933892915E-2</v>
      </c>
      <c r="AE94" s="264">
        <f t="shared" si="41"/>
        <v>3.6734864650014645E-2</v>
      </c>
      <c r="AF94" s="172"/>
    </row>
    <row r="95" spans="1:36" s="3" customFormat="1" ht="15" customHeight="1" x14ac:dyDescent="0.2">
      <c r="A95" s="237">
        <v>2021</v>
      </c>
      <c r="B95" s="68" t="s">
        <v>37</v>
      </c>
      <c r="C95" s="4">
        <v>2077</v>
      </c>
      <c r="D95" s="4">
        <v>814</v>
      </c>
      <c r="E95" s="4">
        <v>293</v>
      </c>
      <c r="F95" s="150">
        <f>SUM(C95:D95)</f>
        <v>2891</v>
      </c>
      <c r="G95" s="32">
        <v>1039</v>
      </c>
      <c r="H95" s="55">
        <v>0</v>
      </c>
      <c r="I95" s="80">
        <v>107</v>
      </c>
      <c r="J95" s="98">
        <v>156</v>
      </c>
      <c r="K95" s="153">
        <v>82</v>
      </c>
      <c r="L95" s="153">
        <v>323</v>
      </c>
      <c r="M95" s="39">
        <f t="shared" ref="M95:M119" si="49">SUM(F95,G95,H95,J95,K95)</f>
        <v>4168</v>
      </c>
      <c r="N95" s="37">
        <f t="shared" si="26"/>
        <v>4891</v>
      </c>
      <c r="O95" s="36">
        <v>391</v>
      </c>
      <c r="P95" s="4">
        <v>469</v>
      </c>
      <c r="Q95" s="4">
        <v>463</v>
      </c>
      <c r="R95" s="4">
        <v>253</v>
      </c>
      <c r="S95" s="75">
        <f t="shared" si="43"/>
        <v>1576</v>
      </c>
      <c r="T95" s="76">
        <v>2</v>
      </c>
      <c r="U95" s="159">
        <v>81</v>
      </c>
      <c r="V95" s="159">
        <v>35</v>
      </c>
      <c r="W95" s="159">
        <v>22</v>
      </c>
      <c r="X95" s="9">
        <f>SUM(T95:W95)</f>
        <v>140</v>
      </c>
      <c r="Y95" s="161">
        <f t="shared" si="38"/>
        <v>6607</v>
      </c>
      <c r="Z95" s="244">
        <f t="shared" si="45"/>
        <v>2.1189647343726352E-2</v>
      </c>
      <c r="AA95" s="24">
        <f t="shared" si="32"/>
        <v>47.192857142857143</v>
      </c>
      <c r="AB95" s="249">
        <f>T95/(J95+O95+T95)</f>
        <v>3.6429872495446266E-3</v>
      </c>
      <c r="AC95" s="258">
        <f t="shared" si="19"/>
        <v>3.9473684210526314E-2</v>
      </c>
      <c r="AD95" s="78">
        <f t="shared" si="40"/>
        <v>3.0647985989492119E-2</v>
      </c>
      <c r="AE95" s="253">
        <f t="shared" si="41"/>
        <v>1.0481181515007145E-2</v>
      </c>
      <c r="AF95" s="173"/>
    </row>
    <row r="96" spans="1:36" ht="15" customHeight="1" x14ac:dyDescent="0.2">
      <c r="A96" s="238"/>
      <c r="B96" s="68" t="s">
        <v>38</v>
      </c>
      <c r="C96" s="4">
        <v>264</v>
      </c>
      <c r="D96" s="4">
        <v>682</v>
      </c>
      <c r="E96" s="4">
        <v>96</v>
      </c>
      <c r="F96" s="150">
        <f t="shared" ref="F96:F107" si="50">SUM(C96:D96)</f>
        <v>946</v>
      </c>
      <c r="G96" s="32">
        <v>3994</v>
      </c>
      <c r="H96" s="55">
        <v>65</v>
      </c>
      <c r="I96" s="80">
        <v>136</v>
      </c>
      <c r="J96" s="98">
        <v>312</v>
      </c>
      <c r="K96" s="153">
        <v>5</v>
      </c>
      <c r="L96" s="153">
        <v>355</v>
      </c>
      <c r="M96" s="39">
        <f t="shared" si="49"/>
        <v>5322</v>
      </c>
      <c r="N96" s="37">
        <f t="shared" si="26"/>
        <v>5909</v>
      </c>
      <c r="O96" s="36">
        <v>723</v>
      </c>
      <c r="P96" s="4">
        <v>3487</v>
      </c>
      <c r="Q96" s="4">
        <v>1273</v>
      </c>
      <c r="R96" s="4">
        <v>375</v>
      </c>
      <c r="S96" s="75">
        <f t="shared" si="43"/>
        <v>5858</v>
      </c>
      <c r="T96" s="159">
        <v>0</v>
      </c>
      <c r="U96" s="159">
        <v>129</v>
      </c>
      <c r="V96" s="159">
        <v>17</v>
      </c>
      <c r="W96" s="159">
        <v>0</v>
      </c>
      <c r="X96" s="9">
        <f t="shared" si="31"/>
        <v>146</v>
      </c>
      <c r="Y96" s="161">
        <f t="shared" si="38"/>
        <v>11913</v>
      </c>
      <c r="Z96" s="244">
        <f t="shared" si="45"/>
        <v>1.2255519180726936E-2</v>
      </c>
      <c r="AA96" s="24">
        <f t="shared" si="32"/>
        <v>81.595890410958901</v>
      </c>
      <c r="AB96" s="249">
        <f t="shared" ref="AB96:AB106" si="51">T96/(J96+O96+T96)</f>
        <v>0</v>
      </c>
      <c r="AC96" s="258">
        <f t="shared" si="19"/>
        <v>1.4416629414394278E-2</v>
      </c>
      <c r="AD96" s="78">
        <f t="shared" si="40"/>
        <v>2.1383647798742137E-2</v>
      </c>
      <c r="AE96" s="253">
        <f t="shared" si="41"/>
        <v>0</v>
      </c>
      <c r="AF96" s="173"/>
      <c r="AG96" s="3"/>
      <c r="AH96" s="3"/>
    </row>
    <row r="97" spans="1:36" ht="15" customHeight="1" x14ac:dyDescent="0.2">
      <c r="A97" s="238"/>
      <c r="B97" s="68" t="s">
        <v>58</v>
      </c>
      <c r="C97" s="4">
        <v>1095</v>
      </c>
      <c r="D97" s="4">
        <v>1190</v>
      </c>
      <c r="E97" s="4">
        <v>-15</v>
      </c>
      <c r="F97" s="150">
        <f t="shared" si="50"/>
        <v>2285</v>
      </c>
      <c r="G97" s="50">
        <v>2385</v>
      </c>
      <c r="H97" s="55">
        <v>0</v>
      </c>
      <c r="I97" s="80">
        <v>569</v>
      </c>
      <c r="J97" s="98">
        <v>362</v>
      </c>
      <c r="K97" s="154">
        <v>25</v>
      </c>
      <c r="L97" s="154">
        <v>966</v>
      </c>
      <c r="M97" s="39">
        <f t="shared" si="49"/>
        <v>5057</v>
      </c>
      <c r="N97" s="37">
        <f t="shared" si="26"/>
        <v>6577</v>
      </c>
      <c r="O97" s="36">
        <v>1251</v>
      </c>
      <c r="P97" s="4">
        <v>1948</v>
      </c>
      <c r="Q97" s="4">
        <v>882</v>
      </c>
      <c r="R97" s="4">
        <v>335</v>
      </c>
      <c r="S97" s="75">
        <f t="shared" si="43"/>
        <v>4416</v>
      </c>
      <c r="T97" s="159">
        <v>4</v>
      </c>
      <c r="U97" s="159">
        <v>113</v>
      </c>
      <c r="V97" s="159">
        <v>31</v>
      </c>
      <c r="W97" s="159">
        <v>23</v>
      </c>
      <c r="X97" s="9">
        <f t="shared" si="31"/>
        <v>171</v>
      </c>
      <c r="Y97" s="161">
        <f t="shared" si="38"/>
        <v>11164</v>
      </c>
      <c r="Z97" s="244">
        <f t="shared" si="45"/>
        <v>1.5317090648513079E-2</v>
      </c>
      <c r="AA97" s="24">
        <f t="shared" si="32"/>
        <v>65.286549707602333</v>
      </c>
      <c r="AB97" s="249">
        <f t="shared" si="51"/>
        <v>2.4737167594310453E-3</v>
      </c>
      <c r="AC97" s="258">
        <f t="shared" si="19"/>
        <v>2.120870870870871E-2</v>
      </c>
      <c r="AD97" s="78">
        <f t="shared" si="40"/>
        <v>2.570480928689884E-2</v>
      </c>
      <c r="AE97" s="253">
        <f t="shared" si="41"/>
        <v>2.0572450805008944E-2</v>
      </c>
      <c r="AF97" s="173"/>
      <c r="AG97" s="42" t="s">
        <v>72</v>
      </c>
      <c r="AH97" s="86"/>
      <c r="AI97" s="86"/>
      <c r="AJ97" s="6"/>
    </row>
    <row r="98" spans="1:36" x14ac:dyDescent="0.2">
      <c r="A98" s="238"/>
      <c r="B98" s="68" t="s">
        <v>59</v>
      </c>
      <c r="C98" s="4">
        <v>975</v>
      </c>
      <c r="D98" s="4">
        <v>640</v>
      </c>
      <c r="E98" s="4">
        <v>229</v>
      </c>
      <c r="F98" s="150">
        <f t="shared" si="50"/>
        <v>1615</v>
      </c>
      <c r="G98" s="136">
        <v>1595</v>
      </c>
      <c r="H98" s="155">
        <v>14</v>
      </c>
      <c r="I98" s="151">
        <v>670</v>
      </c>
      <c r="J98" s="138">
        <v>195</v>
      </c>
      <c r="K98" s="153">
        <v>109</v>
      </c>
      <c r="L98" s="153">
        <v>952</v>
      </c>
      <c r="M98" s="39">
        <f t="shared" si="49"/>
        <v>3528</v>
      </c>
      <c r="N98" s="37">
        <f t="shared" si="26"/>
        <v>5379</v>
      </c>
      <c r="O98" s="36">
        <v>2104</v>
      </c>
      <c r="P98" s="4">
        <v>916</v>
      </c>
      <c r="Q98" s="4">
        <v>409</v>
      </c>
      <c r="R98" s="4">
        <v>53</v>
      </c>
      <c r="S98" s="75">
        <f t="shared" si="43"/>
        <v>3482</v>
      </c>
      <c r="T98" s="159">
        <v>0</v>
      </c>
      <c r="U98" s="159">
        <v>195</v>
      </c>
      <c r="V98" s="159">
        <v>28</v>
      </c>
      <c r="W98" s="159">
        <v>84</v>
      </c>
      <c r="X98" s="9">
        <f t="shared" si="31"/>
        <v>307</v>
      </c>
      <c r="Y98" s="161">
        <f t="shared" si="38"/>
        <v>9168</v>
      </c>
      <c r="Z98" s="244">
        <f t="shared" si="45"/>
        <v>3.3486038394415357E-2</v>
      </c>
      <c r="AA98" s="24">
        <f t="shared" si="32"/>
        <v>29.863192182410423</v>
      </c>
      <c r="AB98" s="249">
        <f t="shared" si="51"/>
        <v>0</v>
      </c>
      <c r="AC98" s="258">
        <f t="shared" si="19"/>
        <v>6.2320230105465002E-2</v>
      </c>
      <c r="AD98" s="78">
        <f t="shared" si="40"/>
        <v>3.121516164994426E-2</v>
      </c>
      <c r="AE98" s="253">
        <f t="shared" si="41"/>
        <v>7.9320113314447591E-2</v>
      </c>
      <c r="AF98" s="173"/>
      <c r="AG98" s="87" t="s">
        <v>52</v>
      </c>
      <c r="AH98" t="s">
        <v>53</v>
      </c>
      <c r="AI98" t="s">
        <v>54</v>
      </c>
      <c r="AJ98" s="88" t="s">
        <v>55</v>
      </c>
    </row>
    <row r="99" spans="1:36" ht="15" customHeight="1" x14ac:dyDescent="0.2">
      <c r="A99" s="238"/>
      <c r="B99" s="68" t="s">
        <v>41</v>
      </c>
      <c r="C99" s="4">
        <v>975</v>
      </c>
      <c r="D99" s="4">
        <v>1140</v>
      </c>
      <c r="E99" s="4">
        <v>9187</v>
      </c>
      <c r="F99" s="150">
        <f t="shared" si="50"/>
        <v>2115</v>
      </c>
      <c r="G99" s="136">
        <v>5679</v>
      </c>
      <c r="H99" s="155">
        <v>74</v>
      </c>
      <c r="I99" s="151">
        <v>335</v>
      </c>
      <c r="J99" s="138">
        <v>295</v>
      </c>
      <c r="K99" s="103">
        <v>355</v>
      </c>
      <c r="L99" s="103">
        <v>648</v>
      </c>
      <c r="M99" s="39">
        <f t="shared" si="49"/>
        <v>8518</v>
      </c>
      <c r="N99" s="37">
        <f t="shared" si="26"/>
        <v>18688</v>
      </c>
      <c r="O99" s="36">
        <v>862</v>
      </c>
      <c r="P99" s="4">
        <v>3599</v>
      </c>
      <c r="Q99" s="159">
        <v>2487</v>
      </c>
      <c r="R99" s="159">
        <v>362</v>
      </c>
      <c r="S99" s="75">
        <f t="shared" si="43"/>
        <v>7310</v>
      </c>
      <c r="T99" s="159">
        <v>0</v>
      </c>
      <c r="U99" s="159">
        <v>157</v>
      </c>
      <c r="V99" s="159">
        <v>43</v>
      </c>
      <c r="W99" s="159">
        <v>38</v>
      </c>
      <c r="X99" s="9">
        <f t="shared" si="31"/>
        <v>238</v>
      </c>
      <c r="Y99" s="161">
        <f t="shared" si="38"/>
        <v>26236</v>
      </c>
      <c r="Z99" s="244">
        <f t="shared" si="45"/>
        <v>9.0715048025613657E-3</v>
      </c>
      <c r="AA99" s="24">
        <f t="shared" si="32"/>
        <v>110.23529411764706</v>
      </c>
      <c r="AB99" s="249">
        <f t="shared" si="51"/>
        <v>0</v>
      </c>
      <c r="AC99" s="258">
        <f t="shared" si="19"/>
        <v>1.3087695898632878E-2</v>
      </c>
      <c r="AD99" s="78">
        <f t="shared" si="40"/>
        <v>4.1465766634522661E-3</v>
      </c>
      <c r="AE99" s="253">
        <f t="shared" si="41"/>
        <v>3.751233958538993E-2</v>
      </c>
      <c r="AF99" s="173"/>
      <c r="AG99" s="89"/>
      <c r="AH99" s="90"/>
      <c r="AI99" s="90"/>
      <c r="AJ99" s="91"/>
    </row>
    <row r="100" spans="1:36" ht="15" customHeight="1" x14ac:dyDescent="0.2">
      <c r="A100" s="238"/>
      <c r="B100" s="5" t="s">
        <v>42</v>
      </c>
      <c r="C100" s="4">
        <v>1566</v>
      </c>
      <c r="D100" s="4">
        <v>1204</v>
      </c>
      <c r="E100" s="4">
        <v>0</v>
      </c>
      <c r="F100" s="150">
        <f t="shared" si="50"/>
        <v>2770</v>
      </c>
      <c r="G100" s="137">
        <v>5840</v>
      </c>
      <c r="H100" s="155">
        <v>97</v>
      </c>
      <c r="I100" s="151">
        <v>543</v>
      </c>
      <c r="J100" s="139">
        <v>74</v>
      </c>
      <c r="K100" s="153">
        <v>34</v>
      </c>
      <c r="L100" s="153">
        <v>729</v>
      </c>
      <c r="M100" s="39">
        <f t="shared" si="49"/>
        <v>8815</v>
      </c>
      <c r="N100" s="37">
        <f t="shared" si="26"/>
        <v>10087</v>
      </c>
      <c r="O100" s="36">
        <v>1651</v>
      </c>
      <c r="P100" s="4">
        <v>4915</v>
      </c>
      <c r="Q100" s="159">
        <v>2120</v>
      </c>
      <c r="R100" s="159">
        <v>334</v>
      </c>
      <c r="S100" s="75">
        <f t="shared" si="43"/>
        <v>9020</v>
      </c>
      <c r="T100" s="159">
        <v>0</v>
      </c>
      <c r="U100" s="159">
        <v>94</v>
      </c>
      <c r="V100" s="159">
        <v>19</v>
      </c>
      <c r="W100" s="159">
        <v>321</v>
      </c>
      <c r="X100" s="9">
        <f t="shared" si="31"/>
        <v>434</v>
      </c>
      <c r="Y100" s="161">
        <f t="shared" si="38"/>
        <v>19541</v>
      </c>
      <c r="Z100" s="244">
        <f t="shared" si="45"/>
        <v>2.2209712911314673E-2</v>
      </c>
      <c r="AA100" s="24">
        <f t="shared" si="32"/>
        <v>45.025345622119815</v>
      </c>
      <c r="AB100" s="249">
        <f t="shared" si="51"/>
        <v>0</v>
      </c>
      <c r="AC100" s="258">
        <f t="shared" si="19"/>
        <v>7.1942446043165471E-3</v>
      </c>
      <c r="AD100" s="78">
        <f t="shared" si="40"/>
        <v>1.5535568274734259E-2</v>
      </c>
      <c r="AE100" s="253">
        <f t="shared" si="41"/>
        <v>0.17011128775834658</v>
      </c>
      <c r="AF100" s="173"/>
      <c r="AG100" s="30"/>
      <c r="AH100" s="30"/>
      <c r="AI100" s="30"/>
      <c r="AJ100" s="30"/>
    </row>
    <row r="101" spans="1:36" s="48" customFormat="1" x14ac:dyDescent="0.2">
      <c r="A101" s="239"/>
      <c r="B101" s="213" t="s">
        <v>43</v>
      </c>
      <c r="C101" s="4">
        <v>579</v>
      </c>
      <c r="D101" s="4">
        <v>2116</v>
      </c>
      <c r="E101" s="4">
        <v>477</v>
      </c>
      <c r="F101" s="150">
        <f t="shared" si="50"/>
        <v>2695</v>
      </c>
      <c r="G101" s="51">
        <v>8592</v>
      </c>
      <c r="H101" s="156">
        <v>164</v>
      </c>
      <c r="I101" s="151">
        <v>469</v>
      </c>
      <c r="J101" s="26">
        <v>148</v>
      </c>
      <c r="K101" s="157">
        <v>82</v>
      </c>
      <c r="L101" s="158">
        <v>501</v>
      </c>
      <c r="M101" s="152">
        <f t="shared" si="49"/>
        <v>11681</v>
      </c>
      <c r="N101" s="37">
        <f t="shared" si="26"/>
        <v>13128</v>
      </c>
      <c r="O101" s="47">
        <v>1736</v>
      </c>
      <c r="P101" s="4">
        <v>4059</v>
      </c>
      <c r="Q101" s="31">
        <v>2993</v>
      </c>
      <c r="R101" s="31">
        <v>388</v>
      </c>
      <c r="S101" s="75">
        <f t="shared" si="43"/>
        <v>9176</v>
      </c>
      <c r="T101" s="47">
        <v>11</v>
      </c>
      <c r="U101" s="31">
        <v>263</v>
      </c>
      <c r="V101" s="31">
        <v>37</v>
      </c>
      <c r="W101" s="31">
        <v>18</v>
      </c>
      <c r="X101" s="9">
        <f t="shared" si="31"/>
        <v>329</v>
      </c>
      <c r="Y101" s="161">
        <f t="shared" si="38"/>
        <v>22633</v>
      </c>
      <c r="Z101" s="244">
        <f t="shared" si="45"/>
        <v>1.4536296558123095E-2</v>
      </c>
      <c r="AA101" s="24">
        <f t="shared" si="32"/>
        <v>68.793313069908805</v>
      </c>
      <c r="AB101" s="249">
        <f t="shared" si="51"/>
        <v>5.8047493403693929E-3</v>
      </c>
      <c r="AC101" s="258">
        <f t="shared" si="19"/>
        <v>1.6364880841266877E-2</v>
      </c>
      <c r="AD101" s="78">
        <f t="shared" si="40"/>
        <v>1.4068441064638783E-2</v>
      </c>
      <c r="AE101" s="253">
        <f t="shared" si="41"/>
        <v>3.015075376884422E-2</v>
      </c>
      <c r="AF101" s="173"/>
      <c r="AG101" s="67"/>
    </row>
    <row r="102" spans="1:36" x14ac:dyDescent="0.2">
      <c r="A102" s="238"/>
      <c r="B102" s="5" t="s">
        <v>44</v>
      </c>
      <c r="C102" s="4">
        <v>1855</v>
      </c>
      <c r="D102" s="4">
        <v>2040</v>
      </c>
      <c r="E102" s="4">
        <v>100</v>
      </c>
      <c r="F102" s="150">
        <f t="shared" si="50"/>
        <v>3895</v>
      </c>
      <c r="G102" s="27">
        <v>10286</v>
      </c>
      <c r="H102" s="55">
        <v>56</v>
      </c>
      <c r="I102" s="80">
        <v>679</v>
      </c>
      <c r="J102" s="2">
        <v>538</v>
      </c>
      <c r="K102" s="2">
        <v>111</v>
      </c>
      <c r="L102" s="27">
        <v>487</v>
      </c>
      <c r="M102" s="152">
        <f t="shared" si="49"/>
        <v>14886</v>
      </c>
      <c r="N102" s="37">
        <f t="shared" si="26"/>
        <v>16152</v>
      </c>
      <c r="O102" s="36">
        <v>2444</v>
      </c>
      <c r="P102" s="4">
        <v>4189</v>
      </c>
      <c r="Q102" s="4">
        <v>5582</v>
      </c>
      <c r="R102" s="4">
        <v>1047</v>
      </c>
      <c r="S102" s="75">
        <f t="shared" si="43"/>
        <v>13262</v>
      </c>
      <c r="T102" s="36">
        <v>0</v>
      </c>
      <c r="U102" s="4">
        <v>96</v>
      </c>
      <c r="V102" s="4">
        <v>37</v>
      </c>
      <c r="W102" s="4">
        <v>380</v>
      </c>
      <c r="X102" s="9">
        <f t="shared" si="31"/>
        <v>513</v>
      </c>
      <c r="Y102" s="163">
        <f t="shared" si="38"/>
        <v>29927</v>
      </c>
      <c r="Z102" s="244">
        <f t="shared" si="45"/>
        <v>1.7141711497978412E-2</v>
      </c>
      <c r="AA102" s="24">
        <f t="shared" si="32"/>
        <v>58.337231968810919</v>
      </c>
      <c r="AB102" s="249">
        <f t="shared" si="51"/>
        <v>0</v>
      </c>
      <c r="AC102" s="258">
        <f t="shared" si="19"/>
        <v>4.7503587510515114E-3</v>
      </c>
      <c r="AD102" s="78">
        <f t="shared" si="40"/>
        <v>1.6995865870463943E-2</v>
      </c>
      <c r="AE102" s="253">
        <f t="shared" si="41"/>
        <v>0.17002237136465326</v>
      </c>
      <c r="AF102" s="173"/>
    </row>
    <row r="103" spans="1:36" x14ac:dyDescent="0.2">
      <c r="A103" s="238"/>
      <c r="B103" s="5" t="s">
        <v>45</v>
      </c>
      <c r="C103" s="4">
        <v>3732</v>
      </c>
      <c r="D103" s="4">
        <v>4192</v>
      </c>
      <c r="E103" s="4">
        <v>39</v>
      </c>
      <c r="F103" s="150">
        <f t="shared" si="50"/>
        <v>7924</v>
      </c>
      <c r="G103" s="27">
        <v>6919</v>
      </c>
      <c r="H103" s="55">
        <v>0</v>
      </c>
      <c r="I103" s="80">
        <v>457</v>
      </c>
      <c r="J103" s="2">
        <v>280</v>
      </c>
      <c r="K103" s="2">
        <v>271</v>
      </c>
      <c r="L103" s="27">
        <v>751</v>
      </c>
      <c r="M103" s="152">
        <f t="shared" si="49"/>
        <v>15394</v>
      </c>
      <c r="N103" s="37">
        <f t="shared" si="26"/>
        <v>16641</v>
      </c>
      <c r="O103" s="47">
        <v>3682</v>
      </c>
      <c r="P103" s="4">
        <v>1846</v>
      </c>
      <c r="Q103" s="4">
        <v>3199</v>
      </c>
      <c r="R103" s="4">
        <v>1137</v>
      </c>
      <c r="S103" s="75">
        <f t="shared" si="43"/>
        <v>9864</v>
      </c>
      <c r="T103" s="36">
        <v>4</v>
      </c>
      <c r="U103" s="4">
        <v>12</v>
      </c>
      <c r="V103" s="4">
        <v>25</v>
      </c>
      <c r="W103" s="4">
        <v>87</v>
      </c>
      <c r="X103" s="9">
        <f t="shared" si="31"/>
        <v>128</v>
      </c>
      <c r="Y103" s="161">
        <f t="shared" si="38"/>
        <v>26633</v>
      </c>
      <c r="Z103" s="244">
        <f t="shared" si="45"/>
        <v>4.8060676604212817E-3</v>
      </c>
      <c r="AA103" s="24">
        <f t="shared" si="32"/>
        <v>208.0703125</v>
      </c>
      <c r="AB103" s="249">
        <f t="shared" si="51"/>
        <v>1.0085728693898135E-3</v>
      </c>
      <c r="AC103" s="258">
        <f t="shared" si="19"/>
        <v>1.002004008016032E-3</v>
      </c>
      <c r="AD103" s="78">
        <f t="shared" si="40"/>
        <v>5.8740601503759395E-3</v>
      </c>
      <c r="AE103" s="253">
        <f t="shared" si="41"/>
        <v>2.2780832678711706E-2</v>
      </c>
      <c r="AF103" s="173"/>
    </row>
    <row r="104" spans="1:36" x14ac:dyDescent="0.2">
      <c r="A104" s="238"/>
      <c r="B104" s="5" t="s">
        <v>46</v>
      </c>
      <c r="C104" s="95">
        <v>3709</v>
      </c>
      <c r="D104" s="4">
        <v>1868</v>
      </c>
      <c r="E104" s="93">
        <v>25</v>
      </c>
      <c r="F104" s="150">
        <f t="shared" si="50"/>
        <v>5577</v>
      </c>
      <c r="G104" s="27">
        <v>7097</v>
      </c>
      <c r="H104" s="55">
        <v>143</v>
      </c>
      <c r="I104" s="47">
        <v>302</v>
      </c>
      <c r="J104" s="36">
        <v>719</v>
      </c>
      <c r="K104" s="36">
        <v>236</v>
      </c>
      <c r="L104" s="36">
        <v>1848</v>
      </c>
      <c r="M104" s="152">
        <f t="shared" si="49"/>
        <v>13772</v>
      </c>
      <c r="N104" s="37">
        <f t="shared" si="26"/>
        <v>15947</v>
      </c>
      <c r="O104" s="36">
        <v>2670</v>
      </c>
      <c r="P104" s="4">
        <v>2123</v>
      </c>
      <c r="Q104" s="4">
        <v>2739</v>
      </c>
      <c r="R104" s="4">
        <v>1024</v>
      </c>
      <c r="S104" s="75">
        <f t="shared" si="43"/>
        <v>8556</v>
      </c>
      <c r="T104" s="36">
        <v>5</v>
      </c>
      <c r="U104" s="4">
        <v>85</v>
      </c>
      <c r="V104" s="4">
        <v>62</v>
      </c>
      <c r="W104" s="4">
        <v>22</v>
      </c>
      <c r="X104" s="9">
        <f t="shared" si="31"/>
        <v>174</v>
      </c>
      <c r="Y104" s="161">
        <f t="shared" si="38"/>
        <v>24677</v>
      </c>
      <c r="Z104" s="244">
        <f t="shared" si="45"/>
        <v>7.0511002147748917E-3</v>
      </c>
      <c r="AA104" s="24">
        <f t="shared" si="32"/>
        <v>141.82183908045977</v>
      </c>
      <c r="AB104" s="249">
        <f t="shared" si="51"/>
        <v>1.4731879787860931E-3</v>
      </c>
      <c r="AC104" s="258">
        <f t="shared" si="19"/>
        <v>6.9746451136456881E-3</v>
      </c>
      <c r="AD104" s="78">
        <f t="shared" si="40"/>
        <v>3.1713554987212275E-2</v>
      </c>
      <c r="AE104" s="253">
        <f t="shared" si="41"/>
        <v>5.8965424819083356E-3</v>
      </c>
      <c r="AF104" s="173"/>
      <c r="AG104" s="30"/>
      <c r="AH104" s="30"/>
      <c r="AI104" s="30"/>
      <c r="AJ104" s="30"/>
    </row>
    <row r="105" spans="1:36" x14ac:dyDescent="0.2">
      <c r="A105" s="238"/>
      <c r="B105" s="5" t="s">
        <v>47</v>
      </c>
      <c r="C105" s="95">
        <v>3038</v>
      </c>
      <c r="D105" s="4">
        <v>628</v>
      </c>
      <c r="E105" s="141">
        <v>293</v>
      </c>
      <c r="F105" s="150">
        <f t="shared" si="50"/>
        <v>3666</v>
      </c>
      <c r="G105" s="27">
        <v>9517</v>
      </c>
      <c r="H105" s="55">
        <v>91</v>
      </c>
      <c r="I105" s="128">
        <v>271</v>
      </c>
      <c r="J105" s="27">
        <v>495</v>
      </c>
      <c r="K105" s="27">
        <v>211</v>
      </c>
      <c r="L105" s="27">
        <v>1858</v>
      </c>
      <c r="M105" s="152">
        <f>SUM(F105,G105,H105,J105,K105)</f>
        <v>13980</v>
      </c>
      <c r="N105" s="37">
        <f t="shared" si="26"/>
        <v>16402</v>
      </c>
      <c r="O105" s="36">
        <v>3592</v>
      </c>
      <c r="P105" s="4">
        <v>3439</v>
      </c>
      <c r="Q105" s="4">
        <v>1969</v>
      </c>
      <c r="R105" s="4">
        <v>231</v>
      </c>
      <c r="S105" s="75">
        <f t="shared" si="43"/>
        <v>9231</v>
      </c>
      <c r="T105" s="36">
        <v>6</v>
      </c>
      <c r="U105" s="4">
        <v>88</v>
      </c>
      <c r="V105" s="4">
        <v>15</v>
      </c>
      <c r="W105" s="4">
        <v>40</v>
      </c>
      <c r="X105" s="9">
        <f t="shared" si="31"/>
        <v>149</v>
      </c>
      <c r="Y105" s="161">
        <f t="shared" si="38"/>
        <v>25782</v>
      </c>
      <c r="Z105" s="244">
        <f t="shared" si="45"/>
        <v>5.7792258164610965E-3</v>
      </c>
      <c r="AA105" s="24">
        <f t="shared" si="32"/>
        <v>173.03355704697987</v>
      </c>
      <c r="AB105" s="249">
        <f t="shared" si="51"/>
        <v>1.4659174199853407E-3</v>
      </c>
      <c r="AC105" s="258">
        <f t="shared" si="19"/>
        <v>5.8262711864406781E-3</v>
      </c>
      <c r="AD105" s="78">
        <f t="shared" si="40"/>
        <v>1.6025641025641024E-2</v>
      </c>
      <c r="AE105" s="253">
        <f t="shared" si="41"/>
        <v>1.2995451591942819E-2</v>
      </c>
      <c r="AF105" s="173"/>
    </row>
    <row r="106" spans="1:36" x14ac:dyDescent="0.2">
      <c r="A106" s="240"/>
      <c r="B106" s="5" t="s">
        <v>48</v>
      </c>
      <c r="C106" s="95">
        <v>2451</v>
      </c>
      <c r="D106" s="4">
        <v>1270</v>
      </c>
      <c r="E106" s="2">
        <v>121</v>
      </c>
      <c r="F106" s="150">
        <f t="shared" si="50"/>
        <v>3721</v>
      </c>
      <c r="G106" s="27">
        <v>4534</v>
      </c>
      <c r="H106" s="57">
        <v>134</v>
      </c>
      <c r="I106" s="129">
        <v>304</v>
      </c>
      <c r="J106" s="27">
        <v>610</v>
      </c>
      <c r="K106" s="27">
        <v>155</v>
      </c>
      <c r="L106" s="27">
        <v>1238</v>
      </c>
      <c r="M106" s="152">
        <f t="shared" si="49"/>
        <v>9154</v>
      </c>
      <c r="N106" s="37">
        <f>SUM(C106+D106+E106+G106+H106+I106+J106+K106+L106)</f>
        <v>10817</v>
      </c>
      <c r="O106" s="36">
        <v>2570</v>
      </c>
      <c r="P106" s="4">
        <v>1435</v>
      </c>
      <c r="Q106" s="4">
        <v>1541</v>
      </c>
      <c r="R106" s="4">
        <v>607</v>
      </c>
      <c r="S106" s="75">
        <f t="shared" si="43"/>
        <v>6153</v>
      </c>
      <c r="T106" s="36">
        <v>79</v>
      </c>
      <c r="U106" s="4">
        <v>240</v>
      </c>
      <c r="V106" s="4">
        <v>35</v>
      </c>
      <c r="W106" s="4">
        <v>74</v>
      </c>
      <c r="X106" s="9">
        <f t="shared" si="31"/>
        <v>428</v>
      </c>
      <c r="Y106" s="161">
        <f t="shared" si="38"/>
        <v>17398</v>
      </c>
      <c r="Z106" s="244">
        <f t="shared" si="45"/>
        <v>2.460052879641338E-2</v>
      </c>
      <c r="AA106" s="24">
        <f t="shared" si="32"/>
        <v>40.649532710280376</v>
      </c>
      <c r="AB106" s="249">
        <f t="shared" si="51"/>
        <v>2.4240564590365141E-2</v>
      </c>
      <c r="AC106" s="258">
        <f t="shared" ref="AC106" si="52">U106/(G106+H106+P106+U106+Q106)</f>
        <v>3.0441400304414001E-2</v>
      </c>
      <c r="AD106" s="78">
        <f t="shared" si="40"/>
        <v>2.4544179523141654E-2</v>
      </c>
      <c r="AE106" s="253">
        <f t="shared" si="41"/>
        <v>2.9306930693069305E-2</v>
      </c>
      <c r="AF106" s="173"/>
    </row>
    <row r="107" spans="1:36" s="3" customFormat="1" x14ac:dyDescent="0.2">
      <c r="A107" s="236"/>
      <c r="B107" s="211" t="s">
        <v>73</v>
      </c>
      <c r="C107" s="72">
        <f>SUM(C95:C106)</f>
        <v>22316</v>
      </c>
      <c r="D107" s="72">
        <f t="shared" ref="D107:E107" si="53">SUM(D95:D106)</f>
        <v>17784</v>
      </c>
      <c r="E107" s="72">
        <f t="shared" si="53"/>
        <v>10845</v>
      </c>
      <c r="F107" s="215">
        <f t="shared" si="50"/>
        <v>40100</v>
      </c>
      <c r="G107" s="72">
        <f>SUM(G95:G106)</f>
        <v>67477</v>
      </c>
      <c r="H107" s="84">
        <f t="shared" ref="H107:L107" si="54">SUM(H95:H106)</f>
        <v>838</v>
      </c>
      <c r="I107" s="72">
        <f t="shared" si="54"/>
        <v>4842</v>
      </c>
      <c r="J107" s="29">
        <f t="shared" si="54"/>
        <v>4184</v>
      </c>
      <c r="K107" s="29">
        <f t="shared" si="54"/>
        <v>1676</v>
      </c>
      <c r="L107" s="29">
        <f t="shared" si="54"/>
        <v>10656</v>
      </c>
      <c r="M107" s="72">
        <f t="shared" si="49"/>
        <v>114275</v>
      </c>
      <c r="N107" s="38">
        <f>SUM(C107+D107+E107+G107+H107+I107+J107+K107+L107)</f>
        <v>140618</v>
      </c>
      <c r="O107" s="130">
        <f t="shared" ref="O107" si="55">SUM(O95:O106)</f>
        <v>23676</v>
      </c>
      <c r="P107" s="20">
        <f>SUM(P95:P106)</f>
        <v>32425</v>
      </c>
      <c r="Q107" s="20">
        <f>SUM(Q95:Q106)</f>
        <v>25657</v>
      </c>
      <c r="R107" s="20">
        <f>SUM(R95:R106)</f>
        <v>6146</v>
      </c>
      <c r="S107" s="85">
        <f t="shared" si="43"/>
        <v>87904</v>
      </c>
      <c r="T107" s="44">
        <f t="shared" ref="T107:W107" si="56">SUM(T95:T106)</f>
        <v>111</v>
      </c>
      <c r="U107" s="60">
        <f t="shared" si="56"/>
        <v>1553</v>
      </c>
      <c r="V107" s="60">
        <f t="shared" si="56"/>
        <v>384</v>
      </c>
      <c r="W107" s="60">
        <f t="shared" si="56"/>
        <v>1109</v>
      </c>
      <c r="X107" s="41">
        <f t="shared" si="31"/>
        <v>3157</v>
      </c>
      <c r="Y107" s="162">
        <f t="shared" si="38"/>
        <v>231679</v>
      </c>
      <c r="Z107" s="246">
        <f t="shared" si="45"/>
        <v>1.3626612683929057E-2</v>
      </c>
      <c r="AA107" s="260">
        <f t="shared" si="32"/>
        <v>73.385809312638585</v>
      </c>
      <c r="AB107" s="257">
        <f>T107/(J107+K107+L107+O107+T107)</f>
        <v>2.7541374091258715E-3</v>
      </c>
      <c r="AC107" s="257">
        <f>U107/(G107+H107+P107+U107+Q107)</f>
        <v>1.2137553731926534E-2</v>
      </c>
      <c r="AD107" s="257">
        <f t="shared" si="40"/>
        <v>1.3235446179298935E-2</v>
      </c>
      <c r="AE107" s="261">
        <f t="shared" si="41"/>
        <v>4.7342582710779083E-2</v>
      </c>
      <c r="AF107" s="172"/>
    </row>
    <row r="108" spans="1:36" s="3" customFormat="1" ht="15" customHeight="1" x14ac:dyDescent="0.2">
      <c r="A108" s="343">
        <v>2022</v>
      </c>
      <c r="B108" s="68" t="s">
        <v>37</v>
      </c>
      <c r="C108" s="95">
        <v>3194</v>
      </c>
      <c r="D108" s="4">
        <v>921</v>
      </c>
      <c r="E108" s="4">
        <v>87</v>
      </c>
      <c r="F108" s="150">
        <f>SUM(C108:D108)</f>
        <v>4115</v>
      </c>
      <c r="G108" s="270">
        <v>3035</v>
      </c>
      <c r="H108" s="155">
        <v>0</v>
      </c>
      <c r="I108" s="95">
        <v>165</v>
      </c>
      <c r="J108" s="80">
        <v>277</v>
      </c>
      <c r="K108" s="274">
        <v>810</v>
      </c>
      <c r="L108" s="276">
        <v>45</v>
      </c>
      <c r="M108" s="152">
        <f t="shared" si="49"/>
        <v>8237</v>
      </c>
      <c r="N108" s="37">
        <f t="shared" ref="N108:N119" si="57">SUM(C108+D108+E108+G108+H108+I108+J108+K108+L108)</f>
        <v>8534</v>
      </c>
      <c r="O108" s="36">
        <v>1929</v>
      </c>
      <c r="P108" s="4">
        <v>1476</v>
      </c>
      <c r="Q108" s="160">
        <v>1155</v>
      </c>
      <c r="R108" s="160">
        <v>585</v>
      </c>
      <c r="S108" s="75">
        <f t="shared" si="43"/>
        <v>5145</v>
      </c>
      <c r="T108" s="76">
        <v>2</v>
      </c>
      <c r="U108" s="159">
        <v>120</v>
      </c>
      <c r="V108" s="159">
        <v>105</v>
      </c>
      <c r="W108" s="159">
        <v>65</v>
      </c>
      <c r="X108" s="9">
        <f>SUM(T108:W108)</f>
        <v>292</v>
      </c>
      <c r="Y108" s="161">
        <f>SUM(M108,S108,X108)</f>
        <v>13674</v>
      </c>
      <c r="Z108" s="244">
        <f t="shared" si="45"/>
        <v>2.135439520257423E-2</v>
      </c>
      <c r="AA108" s="24">
        <f t="shared" ref="AA108:AA119" si="58">1/Z108</f>
        <v>46.828767123287669</v>
      </c>
      <c r="AB108" s="259">
        <f>T108/(J108+K108+L108+O108+T108)</f>
        <v>6.5295461965393404E-4</v>
      </c>
      <c r="AC108" s="258">
        <f t="shared" ref="AC108:AC119" si="59">U108/(G108+H108+P108+U108+Q108)</f>
        <v>2.0739716557207053E-2</v>
      </c>
      <c r="AD108" s="78">
        <f t="shared" ref="AD108:AD120" si="60">V108/(D108+E108+V108)</f>
        <v>9.4339622641509441E-2</v>
      </c>
      <c r="AE108" s="253">
        <f t="shared" ref="AE108:AE120" si="61">W108/(C108+W108)</f>
        <v>1.9944768333844738E-2</v>
      </c>
      <c r="AF108" s="173"/>
    </row>
    <row r="109" spans="1:36" ht="15" customHeight="1" x14ac:dyDescent="0.2">
      <c r="A109" s="344"/>
      <c r="B109" s="68" t="s">
        <v>38</v>
      </c>
      <c r="C109" s="95">
        <v>2302</v>
      </c>
      <c r="D109" s="4">
        <v>767</v>
      </c>
      <c r="E109" s="4">
        <v>48</v>
      </c>
      <c r="F109" s="150">
        <f t="shared" ref="F109:F115" si="62">SUM(C109:D109)</f>
        <v>3069</v>
      </c>
      <c r="G109" s="270">
        <v>2439</v>
      </c>
      <c r="H109" s="155">
        <v>0</v>
      </c>
      <c r="I109" s="95">
        <v>246</v>
      </c>
      <c r="J109" s="80">
        <v>257</v>
      </c>
      <c r="K109" s="274">
        <v>1079</v>
      </c>
      <c r="L109" s="277">
        <v>128</v>
      </c>
      <c r="M109" s="152">
        <f t="shared" si="49"/>
        <v>6844</v>
      </c>
      <c r="N109" s="37">
        <f t="shared" si="57"/>
        <v>7266</v>
      </c>
      <c r="O109" s="36">
        <v>2637</v>
      </c>
      <c r="P109" s="4">
        <v>1005</v>
      </c>
      <c r="Q109" s="4">
        <v>1036</v>
      </c>
      <c r="R109" s="4">
        <v>352</v>
      </c>
      <c r="S109" s="75">
        <f t="shared" si="43"/>
        <v>5030</v>
      </c>
      <c r="T109" s="159">
        <v>2</v>
      </c>
      <c r="U109" s="159">
        <v>85</v>
      </c>
      <c r="V109" s="159">
        <v>33</v>
      </c>
      <c r="W109" s="159">
        <v>37</v>
      </c>
      <c r="X109" s="9">
        <f t="shared" ref="X109:X119" si="63">SUM(T109:W109)</f>
        <v>157</v>
      </c>
      <c r="Y109" s="161">
        <f t="shared" ref="Y109:Y120" si="64">SUM(M109,S109,X109)</f>
        <v>12031</v>
      </c>
      <c r="Z109" s="244">
        <f t="shared" si="45"/>
        <v>1.3049621810323332E-2</v>
      </c>
      <c r="AA109" s="24">
        <f t="shared" si="58"/>
        <v>76.630573248407643</v>
      </c>
      <c r="AB109" s="259">
        <f t="shared" ref="AB109:AB120" si="65">T109/(J109+K109+L109+O109+T109)</f>
        <v>4.874482086278333E-4</v>
      </c>
      <c r="AC109" s="258">
        <f t="shared" si="59"/>
        <v>1.8619934282584884E-2</v>
      </c>
      <c r="AD109" s="78">
        <f t="shared" si="60"/>
        <v>3.891509433962264E-2</v>
      </c>
      <c r="AE109" s="253">
        <f t="shared" si="61"/>
        <v>1.5818725951261221E-2</v>
      </c>
      <c r="AF109" s="173"/>
      <c r="AG109" s="3"/>
      <c r="AH109" s="3"/>
    </row>
    <row r="110" spans="1:36" ht="15" customHeight="1" x14ac:dyDescent="0.2">
      <c r="A110" s="344"/>
      <c r="B110" s="68" t="s">
        <v>58</v>
      </c>
      <c r="C110" s="95">
        <v>375</v>
      </c>
      <c r="D110" s="4">
        <v>30</v>
      </c>
      <c r="E110" s="4">
        <v>983</v>
      </c>
      <c r="F110" s="150">
        <f t="shared" si="62"/>
        <v>405</v>
      </c>
      <c r="G110" s="271">
        <v>1358</v>
      </c>
      <c r="H110" s="155">
        <v>0</v>
      </c>
      <c r="I110" s="95">
        <v>552</v>
      </c>
      <c r="J110" s="80">
        <v>512</v>
      </c>
      <c r="K110" s="275">
        <v>2183</v>
      </c>
      <c r="L110" s="278">
        <v>174</v>
      </c>
      <c r="M110" s="152">
        <f t="shared" si="49"/>
        <v>4458</v>
      </c>
      <c r="N110" s="37">
        <f t="shared" si="57"/>
        <v>6167</v>
      </c>
      <c r="O110" s="36">
        <v>2771</v>
      </c>
      <c r="P110" s="4">
        <v>957</v>
      </c>
      <c r="Q110" s="4">
        <v>886</v>
      </c>
      <c r="R110" s="4">
        <v>0</v>
      </c>
      <c r="S110" s="75">
        <f t="shared" si="43"/>
        <v>4614</v>
      </c>
      <c r="T110" s="159">
        <v>7</v>
      </c>
      <c r="U110" s="159">
        <v>129</v>
      </c>
      <c r="V110" s="159">
        <v>9</v>
      </c>
      <c r="W110" s="159">
        <v>72</v>
      </c>
      <c r="X110" s="9">
        <f t="shared" si="63"/>
        <v>217</v>
      </c>
      <c r="Y110" s="161">
        <f t="shared" si="64"/>
        <v>9289</v>
      </c>
      <c r="Z110" s="244">
        <f t="shared" si="45"/>
        <v>2.3360964581763375E-2</v>
      </c>
      <c r="AA110" s="24">
        <f t="shared" si="58"/>
        <v>42.806451612903224</v>
      </c>
      <c r="AB110" s="259">
        <f t="shared" si="65"/>
        <v>1.2395962457942271E-3</v>
      </c>
      <c r="AC110" s="258">
        <f t="shared" si="59"/>
        <v>3.8738738738738739E-2</v>
      </c>
      <c r="AD110" s="78">
        <f t="shared" si="60"/>
        <v>8.8062622309197647E-3</v>
      </c>
      <c r="AE110" s="253">
        <f t="shared" si="61"/>
        <v>0.16107382550335569</v>
      </c>
      <c r="AF110" s="173"/>
      <c r="AG110" s="42"/>
      <c r="AH110" s="86"/>
      <c r="AI110" s="86"/>
      <c r="AJ110" s="6"/>
    </row>
    <row r="111" spans="1:36" x14ac:dyDescent="0.2">
      <c r="A111" s="344"/>
      <c r="B111" s="68" t="s">
        <v>59</v>
      </c>
      <c r="C111" s="95">
        <v>753</v>
      </c>
      <c r="D111" s="4">
        <v>573</v>
      </c>
      <c r="E111" s="4">
        <v>147</v>
      </c>
      <c r="F111" s="150">
        <f t="shared" si="62"/>
        <v>1326</v>
      </c>
      <c r="G111" s="51">
        <v>3929</v>
      </c>
      <c r="H111" s="155">
        <v>1</v>
      </c>
      <c r="I111" s="151">
        <v>782</v>
      </c>
      <c r="J111" s="272">
        <v>576</v>
      </c>
      <c r="K111" s="274">
        <v>1629</v>
      </c>
      <c r="L111" s="277">
        <v>238</v>
      </c>
      <c r="M111" s="152">
        <f>SUM(F111,G111,H111,J111,K111)</f>
        <v>7461</v>
      </c>
      <c r="N111" s="37">
        <f>SUM(C111+D111+E111+G111+H111+I111+J111+K111+L111)</f>
        <v>8628</v>
      </c>
      <c r="O111" s="36">
        <v>3243</v>
      </c>
      <c r="P111" s="4">
        <v>1023</v>
      </c>
      <c r="Q111" s="4">
        <v>1515</v>
      </c>
      <c r="R111" s="10">
        <v>163</v>
      </c>
      <c r="S111" s="75">
        <f t="shared" si="43"/>
        <v>5944</v>
      </c>
      <c r="T111" s="159">
        <v>43</v>
      </c>
      <c r="U111" s="159">
        <v>233</v>
      </c>
      <c r="V111" s="159">
        <v>17</v>
      </c>
      <c r="W111" s="159">
        <v>35</v>
      </c>
      <c r="X111" s="9">
        <f t="shared" si="63"/>
        <v>328</v>
      </c>
      <c r="Y111" s="161">
        <f t="shared" si="64"/>
        <v>13733</v>
      </c>
      <c r="Z111" s="244">
        <f t="shared" si="45"/>
        <v>2.3884074856185829E-2</v>
      </c>
      <c r="AA111" s="24">
        <f t="shared" si="58"/>
        <v>41.868902439024389</v>
      </c>
      <c r="AB111" s="259">
        <f t="shared" si="65"/>
        <v>7.5056728923023211E-3</v>
      </c>
      <c r="AC111" s="258">
        <f t="shared" si="59"/>
        <v>3.4770929711983284E-2</v>
      </c>
      <c r="AD111" s="78">
        <f t="shared" si="60"/>
        <v>2.3066485753052916E-2</v>
      </c>
      <c r="AE111" s="253">
        <f t="shared" si="61"/>
        <v>4.4416243654822336E-2</v>
      </c>
      <c r="AF111" s="173"/>
      <c r="AG111" s="87"/>
      <c r="AJ111" s="88"/>
    </row>
    <row r="112" spans="1:36" ht="15" customHeight="1" x14ac:dyDescent="0.2">
      <c r="A112" s="344"/>
      <c r="B112" s="68" t="s">
        <v>41</v>
      </c>
      <c r="C112" s="95">
        <v>1644</v>
      </c>
      <c r="D112" s="4">
        <v>624</v>
      </c>
      <c r="E112" s="4">
        <v>83</v>
      </c>
      <c r="F112" s="150">
        <f t="shared" si="62"/>
        <v>2268</v>
      </c>
      <c r="G112" s="269">
        <v>8720</v>
      </c>
      <c r="H112" s="155">
        <v>31</v>
      </c>
      <c r="I112" s="151">
        <v>590</v>
      </c>
      <c r="J112" s="272">
        <v>455</v>
      </c>
      <c r="K112" s="103">
        <v>1010</v>
      </c>
      <c r="L112" s="266">
        <v>462</v>
      </c>
      <c r="M112" s="152">
        <f t="shared" si="49"/>
        <v>12484</v>
      </c>
      <c r="N112" s="37">
        <f t="shared" si="57"/>
        <v>13619</v>
      </c>
      <c r="O112" s="36">
        <v>4680</v>
      </c>
      <c r="P112" s="4">
        <v>2863</v>
      </c>
      <c r="Q112" s="159">
        <v>2658</v>
      </c>
      <c r="R112" s="265">
        <v>359</v>
      </c>
      <c r="S112" s="75">
        <f t="shared" si="43"/>
        <v>10560</v>
      </c>
      <c r="T112" s="159">
        <v>1</v>
      </c>
      <c r="U112" s="159">
        <v>123</v>
      </c>
      <c r="V112" s="159">
        <v>54</v>
      </c>
      <c r="W112" s="159">
        <v>86</v>
      </c>
      <c r="X112" s="9">
        <f t="shared" si="63"/>
        <v>264</v>
      </c>
      <c r="Y112" s="161">
        <f t="shared" si="64"/>
        <v>23308</v>
      </c>
      <c r="Z112" s="244">
        <f t="shared" si="45"/>
        <v>1.1326583147417196E-2</v>
      </c>
      <c r="AA112" s="24">
        <f t="shared" si="58"/>
        <v>88.287878787878782</v>
      </c>
      <c r="AB112" s="259">
        <f t="shared" si="65"/>
        <v>1.5133171912832931E-4</v>
      </c>
      <c r="AC112" s="258">
        <f t="shared" si="59"/>
        <v>8.5446335533171242E-3</v>
      </c>
      <c r="AD112" s="78">
        <f t="shared" si="60"/>
        <v>7.0959264126149807E-2</v>
      </c>
      <c r="AE112" s="253">
        <f t="shared" si="61"/>
        <v>4.971098265895954E-2</v>
      </c>
      <c r="AF112" s="173"/>
      <c r="AG112" s="89"/>
      <c r="AH112" s="90"/>
      <c r="AI112" s="90"/>
      <c r="AJ112" s="91"/>
    </row>
    <row r="113" spans="1:36" ht="15" customHeight="1" x14ac:dyDescent="0.2">
      <c r="A113" s="344"/>
      <c r="B113" s="5" t="s">
        <v>42</v>
      </c>
      <c r="C113" s="95">
        <v>473</v>
      </c>
      <c r="D113" s="4">
        <v>809</v>
      </c>
      <c r="E113" s="4">
        <v>258</v>
      </c>
      <c r="F113" s="150">
        <f t="shared" si="62"/>
        <v>1282</v>
      </c>
      <c r="G113" s="27">
        <v>8152</v>
      </c>
      <c r="H113" s="155">
        <v>2</v>
      </c>
      <c r="I113" s="151">
        <v>498</v>
      </c>
      <c r="J113" s="273">
        <v>1149</v>
      </c>
      <c r="K113" s="274">
        <v>1149</v>
      </c>
      <c r="L113" s="277">
        <v>301</v>
      </c>
      <c r="M113" s="152">
        <f t="shared" si="49"/>
        <v>11734</v>
      </c>
      <c r="N113" s="37">
        <f t="shared" si="57"/>
        <v>12791</v>
      </c>
      <c r="O113" s="36">
        <v>4660</v>
      </c>
      <c r="P113" s="4">
        <v>2507</v>
      </c>
      <c r="Q113" s="159">
        <v>2142</v>
      </c>
      <c r="R113" s="159">
        <v>629</v>
      </c>
      <c r="S113" s="75">
        <f t="shared" si="43"/>
        <v>9938</v>
      </c>
      <c r="T113" s="159">
        <v>9</v>
      </c>
      <c r="U113" s="159">
        <v>104</v>
      </c>
      <c r="V113" s="159">
        <v>32</v>
      </c>
      <c r="W113" s="159">
        <v>15</v>
      </c>
      <c r="X113" s="9">
        <f t="shared" si="63"/>
        <v>160</v>
      </c>
      <c r="Y113" s="161">
        <f t="shared" si="64"/>
        <v>21832</v>
      </c>
      <c r="Z113" s="267">
        <f t="shared" si="45"/>
        <v>7.3286918285086116E-3</v>
      </c>
      <c r="AA113" s="24">
        <f t="shared" si="58"/>
        <v>136.44999999999999</v>
      </c>
      <c r="AB113" s="259">
        <f t="shared" si="65"/>
        <v>1.2383048981838194E-3</v>
      </c>
      <c r="AC113" s="259">
        <f t="shared" si="59"/>
        <v>8.0576431393817316E-3</v>
      </c>
      <c r="AD113" s="78">
        <f t="shared" si="60"/>
        <v>2.9117379435850774E-2</v>
      </c>
      <c r="AE113" s="253">
        <f t="shared" si="61"/>
        <v>3.0737704918032786E-2</v>
      </c>
      <c r="AF113" s="268"/>
      <c r="AG113" s="30"/>
      <c r="AH113" s="30"/>
      <c r="AI113" s="30"/>
      <c r="AJ113" s="30"/>
    </row>
    <row r="114" spans="1:36" s="48" customFormat="1" x14ac:dyDescent="0.2">
      <c r="A114" s="344"/>
      <c r="B114" s="213" t="s">
        <v>43</v>
      </c>
      <c r="C114" s="95">
        <v>848</v>
      </c>
      <c r="D114" s="4">
        <v>1683</v>
      </c>
      <c r="E114" s="4">
        <v>116</v>
      </c>
      <c r="F114" s="150">
        <f t="shared" si="62"/>
        <v>2531</v>
      </c>
      <c r="G114" s="27">
        <v>13802</v>
      </c>
      <c r="H114" s="156">
        <v>1</v>
      </c>
      <c r="I114" s="151">
        <v>729</v>
      </c>
      <c r="J114" s="26">
        <v>695</v>
      </c>
      <c r="K114" s="157">
        <v>1224</v>
      </c>
      <c r="L114" s="158">
        <v>212</v>
      </c>
      <c r="M114" s="152">
        <f t="shared" si="49"/>
        <v>18253</v>
      </c>
      <c r="N114" s="37">
        <f t="shared" si="57"/>
        <v>19310</v>
      </c>
      <c r="O114" s="47">
        <v>5103</v>
      </c>
      <c r="P114" s="4">
        <v>2116</v>
      </c>
      <c r="Q114" s="31">
        <v>3226</v>
      </c>
      <c r="R114" s="31">
        <v>569</v>
      </c>
      <c r="S114" s="75">
        <f>SUM(O114:R114)</f>
        <v>11014</v>
      </c>
      <c r="T114" s="47">
        <v>2</v>
      </c>
      <c r="U114" s="31">
        <v>129</v>
      </c>
      <c r="V114" s="31">
        <v>33</v>
      </c>
      <c r="W114" s="31">
        <v>10</v>
      </c>
      <c r="X114" s="9">
        <f t="shared" si="63"/>
        <v>174</v>
      </c>
      <c r="Y114" s="161">
        <f t="shared" si="64"/>
        <v>29441</v>
      </c>
      <c r="Z114" s="267">
        <f t="shared" si="45"/>
        <v>5.910125335416596E-3</v>
      </c>
      <c r="AA114" s="24">
        <f t="shared" si="58"/>
        <v>169.20114942528735</v>
      </c>
      <c r="AB114" s="259">
        <f t="shared" si="65"/>
        <v>2.7639579878385847E-4</v>
      </c>
      <c r="AC114" s="259">
        <f t="shared" si="59"/>
        <v>6.6929542388710177E-3</v>
      </c>
      <c r="AD114" s="78">
        <f t="shared" si="60"/>
        <v>1.8013100436681223E-2</v>
      </c>
      <c r="AE114" s="253">
        <f t="shared" si="61"/>
        <v>1.1655011655011656E-2</v>
      </c>
      <c r="AF114" s="268"/>
      <c r="AG114" s="67"/>
    </row>
    <row r="115" spans="1:36" x14ac:dyDescent="0.2">
      <c r="A115" s="344"/>
      <c r="B115" s="5" t="s">
        <v>44</v>
      </c>
      <c r="C115" s="95">
        <v>1048</v>
      </c>
      <c r="D115" s="4">
        <v>1126</v>
      </c>
      <c r="E115" s="4">
        <v>115</v>
      </c>
      <c r="F115" s="150">
        <f t="shared" si="62"/>
        <v>2174</v>
      </c>
      <c r="G115" s="27">
        <v>16816</v>
      </c>
      <c r="H115" s="55">
        <v>84</v>
      </c>
      <c r="I115" s="80">
        <v>880</v>
      </c>
      <c r="J115" s="2">
        <v>1094</v>
      </c>
      <c r="K115" s="2">
        <v>955</v>
      </c>
      <c r="L115" s="27">
        <v>196</v>
      </c>
      <c r="M115" s="152">
        <f t="shared" si="49"/>
        <v>21123</v>
      </c>
      <c r="N115" s="37">
        <f t="shared" si="57"/>
        <v>22314</v>
      </c>
      <c r="O115" s="36">
        <v>6328</v>
      </c>
      <c r="P115" s="4">
        <v>2526</v>
      </c>
      <c r="Q115" s="4">
        <v>5713</v>
      </c>
      <c r="R115" s="4">
        <v>802</v>
      </c>
      <c r="S115" s="75">
        <f t="shared" si="43"/>
        <v>15369</v>
      </c>
      <c r="T115" s="36">
        <v>35</v>
      </c>
      <c r="U115" s="4">
        <v>101</v>
      </c>
      <c r="V115" s="4">
        <v>31</v>
      </c>
      <c r="W115" s="4">
        <v>25</v>
      </c>
      <c r="X115" s="9">
        <f t="shared" si="63"/>
        <v>192</v>
      </c>
      <c r="Y115" s="161">
        <f t="shared" si="64"/>
        <v>36684</v>
      </c>
      <c r="Z115" s="244">
        <f t="shared" si="45"/>
        <v>5.2338894340857051E-3</v>
      </c>
      <c r="AA115" s="24">
        <f t="shared" si="58"/>
        <v>191.0625</v>
      </c>
      <c r="AB115" s="259">
        <f>T115/(J115+K115+L115+O115+T115)</f>
        <v>4.0659851301115242E-3</v>
      </c>
      <c r="AC115" s="258">
        <f t="shared" si="59"/>
        <v>4.0015847860538824E-3</v>
      </c>
      <c r="AD115" s="78">
        <f t="shared" si="60"/>
        <v>2.4371069182389939E-2</v>
      </c>
      <c r="AE115" s="253">
        <f t="shared" si="61"/>
        <v>2.3299161230195712E-2</v>
      </c>
      <c r="AF115" s="173"/>
    </row>
    <row r="116" spans="1:36" x14ac:dyDescent="0.2">
      <c r="A116" s="344"/>
      <c r="B116" s="5" t="s">
        <v>45</v>
      </c>
      <c r="C116" s="95">
        <v>1869</v>
      </c>
      <c r="D116" s="4">
        <v>2189</v>
      </c>
      <c r="E116" s="4">
        <v>132</v>
      </c>
      <c r="F116" s="150">
        <f>SUM(C116:D116)</f>
        <v>4058</v>
      </c>
      <c r="G116" s="27">
        <v>13539</v>
      </c>
      <c r="H116" s="55">
        <v>171</v>
      </c>
      <c r="I116" s="80">
        <v>468</v>
      </c>
      <c r="J116" s="2">
        <v>1499</v>
      </c>
      <c r="K116" s="2">
        <v>1399</v>
      </c>
      <c r="L116" s="27">
        <v>280</v>
      </c>
      <c r="M116" s="152">
        <f t="shared" si="49"/>
        <v>20666</v>
      </c>
      <c r="N116" s="37">
        <f t="shared" si="57"/>
        <v>21546</v>
      </c>
      <c r="O116" s="47">
        <v>5710</v>
      </c>
      <c r="P116" s="4">
        <v>2154</v>
      </c>
      <c r="Q116" s="4">
        <v>3882</v>
      </c>
      <c r="R116" s="4">
        <v>620</v>
      </c>
      <c r="S116" s="75">
        <f t="shared" si="43"/>
        <v>12366</v>
      </c>
      <c r="T116" s="36">
        <v>163</v>
      </c>
      <c r="U116" s="4">
        <v>139</v>
      </c>
      <c r="V116" s="4">
        <v>100</v>
      </c>
      <c r="W116" s="4">
        <v>3</v>
      </c>
      <c r="X116" s="9">
        <f t="shared" si="63"/>
        <v>405</v>
      </c>
      <c r="Y116" s="161">
        <f>SUM(M116,S116,X116)</f>
        <v>33437</v>
      </c>
      <c r="Z116" s="244">
        <f t="shared" si="45"/>
        <v>1.2112330651673296E-2</v>
      </c>
      <c r="AA116" s="24">
        <f t="shared" si="58"/>
        <v>82.560493827160499</v>
      </c>
      <c r="AB116" s="259">
        <f t="shared" si="65"/>
        <v>1.8009059772400839E-2</v>
      </c>
      <c r="AC116" s="258">
        <f t="shared" si="59"/>
        <v>6.990193613276339E-3</v>
      </c>
      <c r="AD116" s="78">
        <f t="shared" si="60"/>
        <v>4.1305245766212306E-2</v>
      </c>
      <c r="AE116" s="253">
        <f t="shared" si="61"/>
        <v>1.6025641025641025E-3</v>
      </c>
      <c r="AF116" s="173"/>
    </row>
    <row r="117" spans="1:36" x14ac:dyDescent="0.2">
      <c r="A117" s="344"/>
      <c r="B117" s="5" t="s">
        <v>46</v>
      </c>
      <c r="C117" s="95">
        <v>1951</v>
      </c>
      <c r="D117" s="4">
        <v>2802</v>
      </c>
      <c r="E117" s="93">
        <v>82</v>
      </c>
      <c r="F117" s="150">
        <f>SUM(C117:D117)</f>
        <v>4753</v>
      </c>
      <c r="G117" s="2">
        <v>13492</v>
      </c>
      <c r="H117" s="55">
        <v>31</v>
      </c>
      <c r="I117" s="47">
        <v>546</v>
      </c>
      <c r="J117" s="36">
        <v>1620</v>
      </c>
      <c r="K117" s="280">
        <v>1686</v>
      </c>
      <c r="L117" s="36">
        <v>167</v>
      </c>
      <c r="M117" s="152">
        <f t="shared" si="49"/>
        <v>21582</v>
      </c>
      <c r="N117" s="37">
        <f t="shared" si="57"/>
        <v>22377</v>
      </c>
      <c r="O117" s="36">
        <v>4777</v>
      </c>
      <c r="P117" s="4">
        <v>2779</v>
      </c>
      <c r="Q117" s="4">
        <v>5584</v>
      </c>
      <c r="R117" s="4">
        <v>1611</v>
      </c>
      <c r="S117" s="75">
        <f t="shared" si="43"/>
        <v>14751</v>
      </c>
      <c r="T117" s="36">
        <v>49</v>
      </c>
      <c r="U117" s="4">
        <v>188</v>
      </c>
      <c r="V117" s="4">
        <v>92</v>
      </c>
      <c r="W117" s="4">
        <v>98</v>
      </c>
      <c r="X117" s="9">
        <f t="shared" si="63"/>
        <v>427</v>
      </c>
      <c r="Y117" s="161">
        <f t="shared" si="64"/>
        <v>36760</v>
      </c>
      <c r="Z117" s="244">
        <f t="shared" si="45"/>
        <v>1.161588683351469E-2</v>
      </c>
      <c r="AA117" s="24">
        <f t="shared" si="58"/>
        <v>86.088992974238877</v>
      </c>
      <c r="AB117" s="259">
        <f t="shared" si="65"/>
        <v>5.9043258223882393E-3</v>
      </c>
      <c r="AC117" s="258">
        <f t="shared" si="59"/>
        <v>8.5168071033795423E-3</v>
      </c>
      <c r="AD117" s="78">
        <f t="shared" si="60"/>
        <v>3.0913978494623656E-2</v>
      </c>
      <c r="AE117" s="253">
        <f t="shared" si="61"/>
        <v>4.7828208882381651E-2</v>
      </c>
      <c r="AF117" s="173"/>
      <c r="AG117" s="30"/>
      <c r="AH117" s="30"/>
      <c r="AI117" s="30"/>
      <c r="AJ117" s="30"/>
    </row>
    <row r="118" spans="1:36" ht="16.5" customHeight="1" x14ac:dyDescent="0.2">
      <c r="A118" s="344"/>
      <c r="B118" s="5" t="s">
        <v>47</v>
      </c>
      <c r="C118" s="95">
        <v>625</v>
      </c>
      <c r="D118" s="4">
        <v>457</v>
      </c>
      <c r="E118" s="141">
        <v>89</v>
      </c>
      <c r="F118" s="150">
        <f>SUM(C118:D118)</f>
        <v>1082</v>
      </c>
      <c r="G118" s="2">
        <v>9061</v>
      </c>
      <c r="H118" s="55">
        <v>116</v>
      </c>
      <c r="I118" s="36">
        <v>457</v>
      </c>
      <c r="J118" s="27">
        <v>2488</v>
      </c>
      <c r="K118" s="27">
        <v>1246</v>
      </c>
      <c r="L118" s="27">
        <v>211</v>
      </c>
      <c r="M118" s="152">
        <f t="shared" si="49"/>
        <v>13993</v>
      </c>
      <c r="N118" s="37">
        <f t="shared" si="57"/>
        <v>14750</v>
      </c>
      <c r="O118" s="36">
        <v>3666</v>
      </c>
      <c r="P118" s="4">
        <v>2056</v>
      </c>
      <c r="Q118" s="160">
        <v>4034</v>
      </c>
      <c r="R118" s="160">
        <v>221</v>
      </c>
      <c r="S118" s="75">
        <f t="shared" si="43"/>
        <v>9977</v>
      </c>
      <c r="T118" s="36">
        <v>60</v>
      </c>
      <c r="U118" s="4">
        <v>37</v>
      </c>
      <c r="V118" s="4">
        <v>12</v>
      </c>
      <c r="W118" s="4">
        <v>5</v>
      </c>
      <c r="X118" s="9">
        <f t="shared" si="63"/>
        <v>114</v>
      </c>
      <c r="Y118" s="161">
        <f t="shared" si="64"/>
        <v>24084</v>
      </c>
      <c r="Z118" s="244">
        <f t="shared" si="45"/>
        <v>4.7334329845540608E-3</v>
      </c>
      <c r="AA118" s="24">
        <f t="shared" si="58"/>
        <v>211.26315789473685</v>
      </c>
      <c r="AB118" s="259">
        <f t="shared" si="65"/>
        <v>7.8216660148611658E-3</v>
      </c>
      <c r="AC118" s="258">
        <f t="shared" si="59"/>
        <v>2.417668583376895E-3</v>
      </c>
      <c r="AD118" s="78">
        <f t="shared" si="60"/>
        <v>2.1505376344086023E-2</v>
      </c>
      <c r="AE118" s="253">
        <f t="shared" si="61"/>
        <v>7.9365079365079361E-3</v>
      </c>
      <c r="AF118" s="173"/>
    </row>
    <row r="119" spans="1:36" ht="16" thickBot="1" x14ac:dyDescent="0.25">
      <c r="A119" s="345"/>
      <c r="B119" s="55" t="s">
        <v>48</v>
      </c>
      <c r="C119" s="36">
        <v>600</v>
      </c>
      <c r="D119" s="4">
        <v>1267</v>
      </c>
      <c r="E119" s="2">
        <v>149</v>
      </c>
      <c r="F119" s="150">
        <f>SUM(C119:D119)</f>
        <v>1867</v>
      </c>
      <c r="G119" s="2">
        <v>10791</v>
      </c>
      <c r="H119" s="279">
        <v>3</v>
      </c>
      <c r="I119" s="281">
        <v>306</v>
      </c>
      <c r="J119" s="27">
        <v>1773</v>
      </c>
      <c r="K119" s="27">
        <v>538</v>
      </c>
      <c r="L119" s="27">
        <v>129</v>
      </c>
      <c r="M119" s="152">
        <f t="shared" si="49"/>
        <v>14972</v>
      </c>
      <c r="N119" s="37">
        <f t="shared" si="57"/>
        <v>15556</v>
      </c>
      <c r="O119" s="36">
        <v>4018</v>
      </c>
      <c r="P119" s="4">
        <v>3222</v>
      </c>
      <c r="Q119" s="160">
        <v>1541</v>
      </c>
      <c r="R119" s="160">
        <v>460</v>
      </c>
      <c r="S119" s="75">
        <f t="shared" si="43"/>
        <v>9241</v>
      </c>
      <c r="T119" s="36">
        <v>10</v>
      </c>
      <c r="U119" s="4">
        <v>29</v>
      </c>
      <c r="V119" s="4">
        <v>93</v>
      </c>
      <c r="W119" s="4">
        <v>108</v>
      </c>
      <c r="X119" s="9">
        <f t="shared" si="63"/>
        <v>240</v>
      </c>
      <c r="Y119" s="165">
        <f t="shared" si="64"/>
        <v>24453</v>
      </c>
      <c r="Z119" s="244">
        <f t="shared" si="45"/>
        <v>9.8147466568519193E-3</v>
      </c>
      <c r="AA119" s="24">
        <f t="shared" si="58"/>
        <v>101.8875</v>
      </c>
      <c r="AB119" s="259">
        <f t="shared" si="65"/>
        <v>1.5460729746444033E-3</v>
      </c>
      <c r="AC119" s="258">
        <f t="shared" si="59"/>
        <v>1.860644167842936E-3</v>
      </c>
      <c r="AD119" s="78">
        <f t="shared" si="60"/>
        <v>6.1630218687872766E-2</v>
      </c>
      <c r="AE119" s="253">
        <f t="shared" si="61"/>
        <v>0.15254237288135594</v>
      </c>
      <c r="AF119" s="173"/>
    </row>
    <row r="120" spans="1:36" s="3" customFormat="1" ht="16" thickBot="1" x14ac:dyDescent="0.25">
      <c r="A120" s="236"/>
      <c r="B120" s="211" t="s">
        <v>74</v>
      </c>
      <c r="C120" s="216">
        <f t="shared" ref="C120:R120" si="66">SUM(C108:C119)</f>
        <v>15682</v>
      </c>
      <c r="D120" s="72">
        <f t="shared" si="66"/>
        <v>13248</v>
      </c>
      <c r="E120" s="72">
        <f t="shared" si="66"/>
        <v>2289</v>
      </c>
      <c r="F120" s="216">
        <f t="shared" si="66"/>
        <v>28930</v>
      </c>
      <c r="G120" s="216">
        <f t="shared" si="66"/>
        <v>105134</v>
      </c>
      <c r="H120" s="84">
        <f t="shared" si="66"/>
        <v>440</v>
      </c>
      <c r="I120" s="72">
        <f t="shared" si="66"/>
        <v>6219</v>
      </c>
      <c r="J120" s="29">
        <f t="shared" si="66"/>
        <v>12395</v>
      </c>
      <c r="K120" s="29">
        <f t="shared" si="66"/>
        <v>14908</v>
      </c>
      <c r="L120" s="29">
        <f t="shared" si="66"/>
        <v>2543</v>
      </c>
      <c r="M120" s="72">
        <f t="shared" si="66"/>
        <v>161807</v>
      </c>
      <c r="N120" s="72">
        <f t="shared" si="66"/>
        <v>172858</v>
      </c>
      <c r="O120" s="130">
        <f t="shared" si="66"/>
        <v>49522</v>
      </c>
      <c r="P120" s="20">
        <f t="shared" si="66"/>
        <v>24684</v>
      </c>
      <c r="Q120" s="20">
        <f t="shared" si="66"/>
        <v>33372</v>
      </c>
      <c r="R120" s="20">
        <f t="shared" si="66"/>
        <v>6371</v>
      </c>
      <c r="S120" s="85">
        <f t="shared" si="43"/>
        <v>113949</v>
      </c>
      <c r="T120" s="44">
        <f t="shared" ref="T120:V120" si="67">SUM(T108:T119)</f>
        <v>383</v>
      </c>
      <c r="U120" s="60">
        <f t="shared" si="67"/>
        <v>1417</v>
      </c>
      <c r="V120" s="60">
        <f t="shared" si="67"/>
        <v>611</v>
      </c>
      <c r="W120" s="60">
        <f>SUM(W108:W119)</f>
        <v>559</v>
      </c>
      <c r="X120" s="41">
        <f t="shared" ref="X120" si="68">SUM(T120:W120)</f>
        <v>2970</v>
      </c>
      <c r="Y120" s="166">
        <f t="shared" si="64"/>
        <v>278726</v>
      </c>
      <c r="Z120" s="262">
        <f t="shared" si="45"/>
        <v>1.0655625955239195E-2</v>
      </c>
      <c r="AA120" s="263"/>
      <c r="AB120" s="257">
        <f t="shared" si="65"/>
        <v>4.8024476182116837E-3</v>
      </c>
      <c r="AC120" s="257">
        <f>U120/(G120+H120+P120+U120+Q120)</f>
        <v>8.5854332402285401E-3</v>
      </c>
      <c r="AD120" s="257">
        <f t="shared" si="60"/>
        <v>3.7837503096358679E-2</v>
      </c>
      <c r="AE120" s="261">
        <f t="shared" si="61"/>
        <v>3.4419062865587095E-2</v>
      </c>
      <c r="AF120" s="172"/>
    </row>
    <row r="121" spans="1:36" s="3" customFormat="1" ht="15" customHeight="1" x14ac:dyDescent="0.2">
      <c r="A121" s="343">
        <v>2023</v>
      </c>
      <c r="B121" s="68" t="s">
        <v>37</v>
      </c>
      <c r="C121" s="95">
        <v>566</v>
      </c>
      <c r="D121" s="4">
        <v>639</v>
      </c>
      <c r="E121" s="4">
        <v>87</v>
      </c>
      <c r="F121" s="150">
        <f>SUM(C121:D121)</f>
        <v>1205</v>
      </c>
      <c r="G121" s="270">
        <v>4963</v>
      </c>
      <c r="H121" s="155">
        <v>0</v>
      </c>
      <c r="I121" s="95">
        <v>297</v>
      </c>
      <c r="J121" s="80">
        <v>1402</v>
      </c>
      <c r="K121" s="283">
        <v>704</v>
      </c>
      <c r="L121" s="276">
        <v>0</v>
      </c>
      <c r="M121" s="152">
        <f t="shared" ref="M121" si="69">SUM(F121,G121,H121,J121,K121)</f>
        <v>8274</v>
      </c>
      <c r="N121" s="37">
        <f t="shared" ref="N121:N122" si="70">SUM(C121+D121+E121+G121+H121+I121+J121+K121+L121)</f>
        <v>8658</v>
      </c>
      <c r="O121" s="36">
        <v>3025</v>
      </c>
      <c r="P121" s="4">
        <v>1434</v>
      </c>
      <c r="Q121" s="160">
        <v>2322</v>
      </c>
      <c r="R121" s="160">
        <v>501</v>
      </c>
      <c r="S121" s="75">
        <f t="shared" ref="S121:S126" si="71">SUM(O121:R121)</f>
        <v>7282</v>
      </c>
      <c r="T121" s="76">
        <v>8</v>
      </c>
      <c r="U121" s="159">
        <v>49</v>
      </c>
      <c r="V121" s="159">
        <v>19</v>
      </c>
      <c r="W121" s="159">
        <v>4</v>
      </c>
      <c r="X121" s="9">
        <f>SUM(T121:W121)</f>
        <v>80</v>
      </c>
      <c r="Y121" s="161">
        <f>SUM(M121,S121,X121)</f>
        <v>15636</v>
      </c>
      <c r="Z121" s="244">
        <f t="shared" ref="Z121:Z142" si="72">X121/Y121</f>
        <v>5.1163980557687389E-3</v>
      </c>
      <c r="AA121" s="24">
        <f t="shared" ref="AA121:AA142" si="73">1/Z121</f>
        <v>195.45</v>
      </c>
      <c r="AB121" s="259">
        <f>T121/(J121+K121+L121+O121+T121)</f>
        <v>1.5567230978789648E-3</v>
      </c>
      <c r="AC121" s="258">
        <f t="shared" ref="AC121:AC132" si="74">U121/(G121+H121+P121+U121+Q121)</f>
        <v>5.5885036496350366E-3</v>
      </c>
      <c r="AD121" s="78">
        <f t="shared" ref="AD121:AD132" si="75">V121/(D121+E121+V121)</f>
        <v>2.5503355704697986E-2</v>
      </c>
      <c r="AE121" s="253">
        <f t="shared" ref="AE121:AE132" si="76">W121/(C121+W121)</f>
        <v>7.0175438596491229E-3</v>
      </c>
      <c r="AF121" s="173"/>
    </row>
    <row r="122" spans="1:36" ht="15" customHeight="1" x14ac:dyDescent="0.2">
      <c r="A122" s="344"/>
      <c r="B122" s="68" t="s">
        <v>38</v>
      </c>
      <c r="C122" s="95">
        <v>1299</v>
      </c>
      <c r="D122" s="4">
        <v>444</v>
      </c>
      <c r="E122" s="4">
        <v>59</v>
      </c>
      <c r="F122" s="150">
        <f t="shared" ref="F122:F128" si="77">SUM(C122:D122)</f>
        <v>1743</v>
      </c>
      <c r="G122" s="270">
        <v>9465</v>
      </c>
      <c r="H122" s="155">
        <v>1</v>
      </c>
      <c r="I122" s="95">
        <v>139</v>
      </c>
      <c r="J122" s="80">
        <v>687</v>
      </c>
      <c r="K122" s="283">
        <v>800</v>
      </c>
      <c r="L122" s="277">
        <v>0</v>
      </c>
      <c r="M122" s="152">
        <f>SUM(F122,G122,H122,J122,K122)</f>
        <v>12696</v>
      </c>
      <c r="N122" s="37">
        <f t="shared" si="70"/>
        <v>12894</v>
      </c>
      <c r="O122" s="36">
        <v>1802</v>
      </c>
      <c r="P122" s="4">
        <v>1612</v>
      </c>
      <c r="Q122" s="4">
        <v>5147</v>
      </c>
      <c r="R122" s="4">
        <v>308</v>
      </c>
      <c r="S122" s="75">
        <f t="shared" si="71"/>
        <v>8869</v>
      </c>
      <c r="T122" s="159">
        <v>16</v>
      </c>
      <c r="U122" s="159">
        <v>228</v>
      </c>
      <c r="V122" s="159">
        <v>3</v>
      </c>
      <c r="W122" s="159">
        <v>48</v>
      </c>
      <c r="X122" s="9">
        <f t="shared" ref="X122:X133" si="78">SUM(T122:W122)</f>
        <v>295</v>
      </c>
      <c r="Y122" s="161">
        <f t="shared" ref="Y122:Y128" si="79">SUM(M122,S122,X122)</f>
        <v>21860</v>
      </c>
      <c r="Z122" s="244">
        <f t="shared" si="72"/>
        <v>1.3494967978042087E-2</v>
      </c>
      <c r="AA122" s="24">
        <f t="shared" si="73"/>
        <v>74.101694915254228</v>
      </c>
      <c r="AB122" s="259">
        <f t="shared" ref="AB122:AB127" si="80">T122/(J122+K122+L122+O122+T122)</f>
        <v>4.841149773071104E-3</v>
      </c>
      <c r="AC122" s="258">
        <f t="shared" si="74"/>
        <v>1.3857655138880447E-2</v>
      </c>
      <c r="AD122" s="78">
        <f t="shared" si="75"/>
        <v>5.9288537549407111E-3</v>
      </c>
      <c r="AE122" s="253">
        <f t="shared" si="76"/>
        <v>3.5634743875278395E-2</v>
      </c>
      <c r="AF122" s="173"/>
      <c r="AG122" s="3"/>
      <c r="AH122" s="3"/>
    </row>
    <row r="123" spans="1:36" ht="15" customHeight="1" x14ac:dyDescent="0.2">
      <c r="A123" s="344"/>
      <c r="B123" s="68" t="s">
        <v>58</v>
      </c>
      <c r="C123" s="95">
        <v>313</v>
      </c>
      <c r="D123" s="4">
        <v>806</v>
      </c>
      <c r="E123" s="4">
        <v>74</v>
      </c>
      <c r="F123" s="150">
        <f t="shared" si="77"/>
        <v>1119</v>
      </c>
      <c r="G123" s="271">
        <v>13267</v>
      </c>
      <c r="H123" s="155">
        <v>1</v>
      </c>
      <c r="I123" s="95">
        <v>182</v>
      </c>
      <c r="J123" s="80">
        <v>1104</v>
      </c>
      <c r="K123" s="284">
        <v>1680</v>
      </c>
      <c r="L123" s="278">
        <v>0</v>
      </c>
      <c r="M123" s="152">
        <f>SUM(F123,G123,H123,J123,K123)</f>
        <v>17171</v>
      </c>
      <c r="N123" s="37">
        <f>SUM(C123+D123+E123+G123+H123+I123+J123+K123+L123)</f>
        <v>17427</v>
      </c>
      <c r="O123" s="36">
        <v>2614</v>
      </c>
      <c r="P123" s="4">
        <v>999</v>
      </c>
      <c r="Q123" s="4">
        <v>7494</v>
      </c>
      <c r="R123" s="4">
        <v>392</v>
      </c>
      <c r="S123" s="75">
        <f t="shared" si="71"/>
        <v>11499</v>
      </c>
      <c r="T123" s="159">
        <v>22</v>
      </c>
      <c r="U123" s="159">
        <v>200</v>
      </c>
      <c r="V123" s="159">
        <v>19</v>
      </c>
      <c r="W123" s="159">
        <v>39</v>
      </c>
      <c r="X123" s="9">
        <f t="shared" si="78"/>
        <v>280</v>
      </c>
      <c r="Y123" s="161">
        <f t="shared" si="79"/>
        <v>28950</v>
      </c>
      <c r="Z123" s="244">
        <f t="shared" si="72"/>
        <v>9.6718480138169253E-3</v>
      </c>
      <c r="AA123" s="24">
        <f t="shared" si="73"/>
        <v>103.39285714285715</v>
      </c>
      <c r="AB123" s="259">
        <f>T123/(J123+K123+L123+O123+T123)</f>
        <v>4.0590405904059037E-3</v>
      </c>
      <c r="AC123" s="258">
        <f t="shared" si="74"/>
        <v>9.107053412868266E-3</v>
      </c>
      <c r="AD123" s="78">
        <f t="shared" si="75"/>
        <v>2.1134593993325918E-2</v>
      </c>
      <c r="AE123" s="253">
        <f t="shared" si="76"/>
        <v>0.11079545454545454</v>
      </c>
      <c r="AF123" s="173"/>
      <c r="AG123" s="42"/>
      <c r="AH123" s="86"/>
      <c r="AI123" s="86"/>
      <c r="AJ123" s="6"/>
    </row>
    <row r="124" spans="1:36" x14ac:dyDescent="0.2">
      <c r="A124" s="344"/>
      <c r="B124" s="68" t="s">
        <v>59</v>
      </c>
      <c r="C124" s="95">
        <v>1033</v>
      </c>
      <c r="D124" s="4">
        <v>1114</v>
      </c>
      <c r="E124" s="4">
        <v>91</v>
      </c>
      <c r="F124" s="150">
        <f t="shared" si="77"/>
        <v>2147</v>
      </c>
      <c r="G124" s="51">
        <v>14506</v>
      </c>
      <c r="H124" s="155">
        <v>91</v>
      </c>
      <c r="I124" s="151">
        <v>308</v>
      </c>
      <c r="J124" s="272">
        <v>790</v>
      </c>
      <c r="K124" s="283">
        <v>645</v>
      </c>
      <c r="L124" s="277">
        <v>0</v>
      </c>
      <c r="M124" s="152">
        <f>SUM(F124,G124,H124,J124,K124)</f>
        <v>18179</v>
      </c>
      <c r="N124" s="37">
        <f>SUM(C124+D124+E124+G124+H124+I124+J124+K124+L124)</f>
        <v>18578</v>
      </c>
      <c r="O124" s="36">
        <v>2806</v>
      </c>
      <c r="P124" s="4">
        <v>810</v>
      </c>
      <c r="Q124" s="4">
        <v>4756</v>
      </c>
      <c r="R124" s="10">
        <v>448</v>
      </c>
      <c r="S124" s="75">
        <f t="shared" si="71"/>
        <v>8820</v>
      </c>
      <c r="T124" s="159">
        <v>1</v>
      </c>
      <c r="U124" s="159">
        <v>512</v>
      </c>
      <c r="V124" s="159">
        <v>49</v>
      </c>
      <c r="W124" s="159">
        <v>30</v>
      </c>
      <c r="X124" s="9">
        <f t="shared" si="78"/>
        <v>592</v>
      </c>
      <c r="Y124" s="161">
        <f t="shared" si="79"/>
        <v>27591</v>
      </c>
      <c r="Z124" s="244">
        <f t="shared" si="72"/>
        <v>2.1456271972744734E-2</v>
      </c>
      <c r="AA124" s="24">
        <f t="shared" si="73"/>
        <v>46.606418918918919</v>
      </c>
      <c r="AB124" s="259">
        <f>T124/(J124+K124+L124+O124+T124)</f>
        <v>2.3573785950023574E-4</v>
      </c>
      <c r="AC124" s="258">
        <f t="shared" si="74"/>
        <v>2.4764207980652961E-2</v>
      </c>
      <c r="AD124" s="78">
        <f t="shared" si="75"/>
        <v>3.9074960127591707E-2</v>
      </c>
      <c r="AE124" s="253">
        <f t="shared" si="76"/>
        <v>2.8222013170272814E-2</v>
      </c>
      <c r="AF124" s="173"/>
      <c r="AG124" s="87"/>
      <c r="AJ124" s="88"/>
    </row>
    <row r="125" spans="1:36" ht="15" customHeight="1" x14ac:dyDescent="0.2">
      <c r="A125" s="344"/>
      <c r="B125" s="68" t="s">
        <v>41</v>
      </c>
      <c r="C125" s="95">
        <v>1195</v>
      </c>
      <c r="D125" s="4">
        <v>731</v>
      </c>
      <c r="E125" s="4">
        <v>124</v>
      </c>
      <c r="F125" s="150">
        <f t="shared" si="77"/>
        <v>1926</v>
      </c>
      <c r="G125" s="269">
        <v>8154</v>
      </c>
      <c r="H125" s="155">
        <v>0</v>
      </c>
      <c r="I125" s="151">
        <v>402</v>
      </c>
      <c r="J125" s="272">
        <v>1002</v>
      </c>
      <c r="K125" s="103">
        <v>1005</v>
      </c>
      <c r="L125" s="297">
        <v>0</v>
      </c>
      <c r="M125" s="152">
        <f t="shared" ref="M125:M132" si="81">SUM(F125,G125,H125,J125,K125)</f>
        <v>12087</v>
      </c>
      <c r="N125" s="37">
        <f t="shared" ref="N125:N132" si="82">SUM(C125+D125+E125+G125+H125+I125+J125+K125+L125)</f>
        <v>12613</v>
      </c>
      <c r="O125" s="36">
        <v>3161</v>
      </c>
      <c r="P125" s="4">
        <v>1359</v>
      </c>
      <c r="Q125" s="159">
        <v>4049</v>
      </c>
      <c r="R125" s="265">
        <v>40</v>
      </c>
      <c r="S125" s="75">
        <f t="shared" si="71"/>
        <v>8609</v>
      </c>
      <c r="T125" s="159">
        <v>12</v>
      </c>
      <c r="U125" s="159">
        <v>91</v>
      </c>
      <c r="V125" s="159">
        <v>43</v>
      </c>
      <c r="W125" s="159">
        <v>2</v>
      </c>
      <c r="X125" s="9">
        <f t="shared" si="78"/>
        <v>148</v>
      </c>
      <c r="Y125" s="161">
        <f t="shared" si="79"/>
        <v>20844</v>
      </c>
      <c r="Z125" s="244">
        <f t="shared" si="72"/>
        <v>7.1003646133179811E-3</v>
      </c>
      <c r="AA125" s="24">
        <f t="shared" si="73"/>
        <v>140.83783783783784</v>
      </c>
      <c r="AB125" s="259">
        <f t="shared" si="80"/>
        <v>2.3166023166023165E-3</v>
      </c>
      <c r="AC125" s="258">
        <f t="shared" si="74"/>
        <v>6.6652017871530068E-3</v>
      </c>
      <c r="AD125" s="78">
        <f t="shared" si="75"/>
        <v>4.7884187082405348E-2</v>
      </c>
      <c r="AE125" s="253">
        <f t="shared" si="76"/>
        <v>1.6708437761069339E-3</v>
      </c>
      <c r="AF125" s="173"/>
      <c r="AG125" s="89"/>
      <c r="AH125" s="90"/>
      <c r="AI125" s="90"/>
      <c r="AJ125" s="91"/>
    </row>
    <row r="126" spans="1:36" s="3" customFormat="1" ht="15" customHeight="1" x14ac:dyDescent="0.2">
      <c r="A126" s="344"/>
      <c r="B126" s="5" t="s">
        <v>42</v>
      </c>
      <c r="C126" s="95">
        <v>2807</v>
      </c>
      <c r="D126" s="4">
        <v>1245</v>
      </c>
      <c r="E126" s="4">
        <v>77</v>
      </c>
      <c r="F126" s="150">
        <f t="shared" si="77"/>
        <v>4052</v>
      </c>
      <c r="G126" s="27">
        <v>15164</v>
      </c>
      <c r="H126" s="155">
        <v>49</v>
      </c>
      <c r="I126" s="151">
        <v>1125</v>
      </c>
      <c r="J126" s="273">
        <v>1264</v>
      </c>
      <c r="K126" s="274">
        <v>735</v>
      </c>
      <c r="L126" s="296">
        <v>0</v>
      </c>
      <c r="M126" s="152">
        <f t="shared" si="81"/>
        <v>21264</v>
      </c>
      <c r="N126" s="37">
        <f t="shared" si="82"/>
        <v>22466</v>
      </c>
      <c r="O126" s="36">
        <v>3102</v>
      </c>
      <c r="P126" s="4">
        <v>2282</v>
      </c>
      <c r="Q126" s="159">
        <v>3528</v>
      </c>
      <c r="R126" s="265">
        <v>381</v>
      </c>
      <c r="S126" s="75">
        <f t="shared" si="71"/>
        <v>9293</v>
      </c>
      <c r="T126" s="159">
        <v>0</v>
      </c>
      <c r="U126" s="159">
        <v>779</v>
      </c>
      <c r="V126" s="159">
        <v>52</v>
      </c>
      <c r="W126" s="159">
        <v>88</v>
      </c>
      <c r="X126" s="9">
        <f t="shared" si="78"/>
        <v>919</v>
      </c>
      <c r="Y126" s="161">
        <f t="shared" si="79"/>
        <v>31476</v>
      </c>
      <c r="Z126" s="298">
        <f t="shared" si="72"/>
        <v>2.9196848392425975E-2</v>
      </c>
      <c r="AA126" s="24">
        <f t="shared" si="73"/>
        <v>34.250272034820455</v>
      </c>
      <c r="AB126" s="259">
        <f t="shared" si="80"/>
        <v>0</v>
      </c>
      <c r="AC126" s="259">
        <f t="shared" si="74"/>
        <v>3.5730666911292543E-2</v>
      </c>
      <c r="AD126" s="259">
        <f t="shared" si="75"/>
        <v>3.7845705967976713E-2</v>
      </c>
      <c r="AE126" s="299">
        <f t="shared" si="76"/>
        <v>3.0397236614853194E-2</v>
      </c>
      <c r="AF126" s="300"/>
      <c r="AG126" s="74"/>
      <c r="AH126" s="74"/>
      <c r="AI126" s="74"/>
      <c r="AJ126" s="74"/>
    </row>
    <row r="127" spans="1:36" s="302" customFormat="1" x14ac:dyDescent="0.2">
      <c r="A127" s="344"/>
      <c r="B127" s="213" t="s">
        <v>43</v>
      </c>
      <c r="C127" s="95">
        <v>1295</v>
      </c>
      <c r="D127" s="4">
        <v>2116</v>
      </c>
      <c r="E127" s="4">
        <v>59</v>
      </c>
      <c r="F127" s="150">
        <f t="shared" si="77"/>
        <v>3411</v>
      </c>
      <c r="G127" s="27">
        <v>23420</v>
      </c>
      <c r="H127" s="156">
        <v>36</v>
      </c>
      <c r="I127" s="151">
        <v>548</v>
      </c>
      <c r="J127" s="26">
        <v>2746</v>
      </c>
      <c r="K127" s="304">
        <v>920</v>
      </c>
      <c r="L127" s="305">
        <v>0</v>
      </c>
      <c r="M127" s="152">
        <f t="shared" si="81"/>
        <v>30533</v>
      </c>
      <c r="N127" s="37">
        <f t="shared" si="82"/>
        <v>31140</v>
      </c>
      <c r="O127" s="47">
        <v>2909</v>
      </c>
      <c r="P127" s="4">
        <v>581</v>
      </c>
      <c r="Q127" s="159">
        <v>848</v>
      </c>
      <c r="R127" s="308">
        <v>729</v>
      </c>
      <c r="S127" s="75">
        <f>SUM(O127:R127)</f>
        <v>5067</v>
      </c>
      <c r="T127" s="47">
        <v>0</v>
      </c>
      <c r="U127" s="31">
        <v>68</v>
      </c>
      <c r="V127" s="31">
        <v>31</v>
      </c>
      <c r="W127" s="31">
        <v>147</v>
      </c>
      <c r="X127" s="9">
        <f t="shared" si="78"/>
        <v>246</v>
      </c>
      <c r="Y127" s="161">
        <f t="shared" si="79"/>
        <v>35846</v>
      </c>
      <c r="Z127" s="298">
        <f t="shared" si="72"/>
        <v>6.8626903978128663E-3</v>
      </c>
      <c r="AA127" s="24">
        <f t="shared" si="73"/>
        <v>145.71544715447155</v>
      </c>
      <c r="AB127" s="259">
        <f t="shared" si="80"/>
        <v>0</v>
      </c>
      <c r="AC127" s="259">
        <f t="shared" si="74"/>
        <v>2.7251232316755501E-3</v>
      </c>
      <c r="AD127" s="259">
        <f t="shared" si="75"/>
        <v>1.4052583862194016E-2</v>
      </c>
      <c r="AE127" s="299">
        <f t="shared" si="76"/>
        <v>0.10194174757281553</v>
      </c>
      <c r="AF127" s="300"/>
      <c r="AG127" s="301"/>
    </row>
    <row r="128" spans="1:36" s="3" customFormat="1" x14ac:dyDescent="0.2">
      <c r="A128" s="344"/>
      <c r="B128" s="5" t="s">
        <v>44</v>
      </c>
      <c r="C128" s="95">
        <v>2931</v>
      </c>
      <c r="D128" s="4">
        <v>2491</v>
      </c>
      <c r="E128" s="4">
        <v>184</v>
      </c>
      <c r="F128" s="150">
        <f t="shared" si="77"/>
        <v>5422</v>
      </c>
      <c r="G128" s="27">
        <v>25673</v>
      </c>
      <c r="H128" s="55">
        <v>94</v>
      </c>
      <c r="I128" s="80">
        <v>959</v>
      </c>
      <c r="J128" s="2">
        <v>5855</v>
      </c>
      <c r="K128" s="2">
        <v>895</v>
      </c>
      <c r="L128" s="27">
        <v>0</v>
      </c>
      <c r="M128" s="152">
        <f t="shared" si="81"/>
        <v>37939</v>
      </c>
      <c r="N128" s="37">
        <f t="shared" si="82"/>
        <v>39082</v>
      </c>
      <c r="O128" s="36">
        <v>5006</v>
      </c>
      <c r="P128" s="4">
        <v>1528</v>
      </c>
      <c r="Q128" s="4">
        <v>4427</v>
      </c>
      <c r="R128" s="10">
        <v>474</v>
      </c>
      <c r="S128" s="75">
        <f t="shared" ref="S128:S132" si="83">SUM(O128:R128)</f>
        <v>11435</v>
      </c>
      <c r="T128" s="36">
        <v>5</v>
      </c>
      <c r="U128" s="4">
        <v>262</v>
      </c>
      <c r="V128" s="4">
        <v>80</v>
      </c>
      <c r="W128" s="4">
        <v>75</v>
      </c>
      <c r="X128" s="9">
        <f t="shared" si="78"/>
        <v>422</v>
      </c>
      <c r="Y128" s="161">
        <f t="shared" si="79"/>
        <v>49796</v>
      </c>
      <c r="Z128" s="303">
        <f t="shared" si="72"/>
        <v>8.4745762711864406E-3</v>
      </c>
      <c r="AA128" s="24">
        <f t="shared" si="73"/>
        <v>118</v>
      </c>
      <c r="AB128" s="259">
        <f>T128/(J128+K128+L128+O128+T128)</f>
        <v>4.2513391718391292E-4</v>
      </c>
      <c r="AC128" s="258">
        <f t="shared" si="74"/>
        <v>8.1915957978989495E-3</v>
      </c>
      <c r="AD128" s="259">
        <f t="shared" si="75"/>
        <v>2.9038112522686024E-2</v>
      </c>
      <c r="AE128" s="299">
        <f t="shared" si="76"/>
        <v>2.4950099800399202E-2</v>
      </c>
      <c r="AF128" s="172"/>
    </row>
    <row r="129" spans="1:36" x14ac:dyDescent="0.2">
      <c r="A129" s="344"/>
      <c r="B129" s="5" t="s">
        <v>45</v>
      </c>
      <c r="C129" s="95">
        <v>3537</v>
      </c>
      <c r="D129" s="4">
        <v>1078</v>
      </c>
      <c r="E129" s="4">
        <v>145</v>
      </c>
      <c r="F129" s="150">
        <f>SUM(C129:D129)</f>
        <v>4615</v>
      </c>
      <c r="G129" s="27">
        <v>19209</v>
      </c>
      <c r="H129" s="306">
        <v>0</v>
      </c>
      <c r="I129" s="307">
        <v>734</v>
      </c>
      <c r="J129" s="2">
        <v>11428</v>
      </c>
      <c r="K129" s="12">
        <v>730</v>
      </c>
      <c r="L129" s="28">
        <v>0</v>
      </c>
      <c r="M129" s="152">
        <f t="shared" si="81"/>
        <v>35982</v>
      </c>
      <c r="N129" s="37">
        <f t="shared" si="82"/>
        <v>36861</v>
      </c>
      <c r="O129" s="47">
        <v>9623</v>
      </c>
      <c r="P129" s="4">
        <v>1131</v>
      </c>
      <c r="Q129" s="4">
        <v>8781</v>
      </c>
      <c r="R129" s="10">
        <v>490</v>
      </c>
      <c r="S129" s="75">
        <f t="shared" si="83"/>
        <v>20025</v>
      </c>
      <c r="T129" s="36">
        <v>4</v>
      </c>
      <c r="U129" s="4">
        <v>76</v>
      </c>
      <c r="V129" s="4">
        <v>3</v>
      </c>
      <c r="W129" s="4">
        <v>25</v>
      </c>
      <c r="X129" s="9">
        <f t="shared" si="78"/>
        <v>108</v>
      </c>
      <c r="Y129" s="161">
        <f>SUM(M129,S129,X129)</f>
        <v>56115</v>
      </c>
      <c r="Z129" s="244">
        <f t="shared" si="72"/>
        <v>1.9246190858059342E-3</v>
      </c>
      <c r="AA129" s="24">
        <f t="shared" si="73"/>
        <v>519.58333333333337</v>
      </c>
      <c r="AB129" s="259">
        <f t="shared" ref="AB129:AB132" si="84">T129/(J129+K129+L129+O129+T129)</f>
        <v>1.8361257746155613E-4</v>
      </c>
      <c r="AC129" s="258">
        <f t="shared" si="74"/>
        <v>2.6030071582696852E-3</v>
      </c>
      <c r="AD129" s="78">
        <f t="shared" si="75"/>
        <v>2.4469820554649264E-3</v>
      </c>
      <c r="AE129" s="253">
        <f t="shared" si="76"/>
        <v>7.0185289163391352E-3</v>
      </c>
      <c r="AF129" s="173"/>
    </row>
    <row r="130" spans="1:36" x14ac:dyDescent="0.2">
      <c r="A130" s="344"/>
      <c r="B130" s="5" t="s">
        <v>46</v>
      </c>
      <c r="C130" s="95">
        <v>15729</v>
      </c>
      <c r="D130" s="4">
        <v>1921</v>
      </c>
      <c r="E130" s="93">
        <v>214</v>
      </c>
      <c r="F130" s="150">
        <f>SUM(C130:D130)</f>
        <v>17650</v>
      </c>
      <c r="G130" s="2">
        <v>10277</v>
      </c>
      <c r="H130" s="55">
        <v>44</v>
      </c>
      <c r="I130" s="47">
        <v>429</v>
      </c>
      <c r="J130" s="36">
        <v>6768</v>
      </c>
      <c r="K130" s="316">
        <v>1095</v>
      </c>
      <c r="L130" s="316">
        <v>0</v>
      </c>
      <c r="M130" s="152">
        <f t="shared" si="81"/>
        <v>35834</v>
      </c>
      <c r="N130" s="37">
        <f t="shared" si="82"/>
        <v>36477</v>
      </c>
      <c r="O130" s="36">
        <v>10739</v>
      </c>
      <c r="P130" s="4">
        <v>1791</v>
      </c>
      <c r="Q130" s="4">
        <v>3407</v>
      </c>
      <c r="R130" s="4">
        <v>901</v>
      </c>
      <c r="S130" s="75">
        <f>SUM(O130:R130)</f>
        <v>16838</v>
      </c>
      <c r="T130" s="36">
        <v>8</v>
      </c>
      <c r="U130" s="4">
        <v>56</v>
      </c>
      <c r="V130" s="4">
        <v>19</v>
      </c>
      <c r="W130" s="4">
        <v>94</v>
      </c>
      <c r="X130" s="9">
        <f t="shared" si="78"/>
        <v>177</v>
      </c>
      <c r="Y130" s="161">
        <f t="shared" ref="Y130:Y142" si="85">SUM(M130,S130,X130)</f>
        <v>52849</v>
      </c>
      <c r="Z130" s="244">
        <f t="shared" si="72"/>
        <v>3.3491646010331321E-3</v>
      </c>
      <c r="AA130" s="24">
        <f t="shared" si="73"/>
        <v>298.58192090395482</v>
      </c>
      <c r="AB130" s="259">
        <f t="shared" si="84"/>
        <v>4.2987641053197207E-4</v>
      </c>
      <c r="AC130" s="258">
        <f t="shared" si="74"/>
        <v>3.5955056179775282E-3</v>
      </c>
      <c r="AD130" s="78">
        <f t="shared" si="75"/>
        <v>8.820798514391829E-3</v>
      </c>
      <c r="AE130" s="253">
        <f t="shared" si="76"/>
        <v>5.9407192062187952E-3</v>
      </c>
      <c r="AF130" s="173"/>
      <c r="AG130" s="30"/>
      <c r="AH130" s="30"/>
      <c r="AI130" s="30"/>
      <c r="AJ130" s="30"/>
    </row>
    <row r="131" spans="1:36" x14ac:dyDescent="0.2">
      <c r="A131" s="344"/>
      <c r="B131" s="5" t="s">
        <v>47</v>
      </c>
      <c r="C131" s="95">
        <v>4705</v>
      </c>
      <c r="D131" s="4">
        <v>1381</v>
      </c>
      <c r="E131" s="141">
        <v>61</v>
      </c>
      <c r="F131" s="150">
        <f>SUM(C131:D131)</f>
        <v>6086</v>
      </c>
      <c r="G131" s="2">
        <v>8317</v>
      </c>
      <c r="H131" s="55">
        <v>18</v>
      </c>
      <c r="I131" s="36">
        <v>502</v>
      </c>
      <c r="J131" s="27">
        <v>3739</v>
      </c>
      <c r="K131" s="28">
        <v>1425</v>
      </c>
      <c r="L131" s="28">
        <v>0</v>
      </c>
      <c r="M131" s="152">
        <f t="shared" si="81"/>
        <v>19585</v>
      </c>
      <c r="N131" s="37">
        <f t="shared" si="82"/>
        <v>20148</v>
      </c>
      <c r="O131" s="36">
        <v>4900</v>
      </c>
      <c r="P131" s="4">
        <v>1748</v>
      </c>
      <c r="Q131" s="160">
        <v>3982</v>
      </c>
      <c r="R131" s="160">
        <v>663</v>
      </c>
      <c r="S131" s="75">
        <f t="shared" si="83"/>
        <v>11293</v>
      </c>
      <c r="T131" s="36">
        <v>10</v>
      </c>
      <c r="U131" s="4">
        <v>31</v>
      </c>
      <c r="V131" s="4">
        <v>95</v>
      </c>
      <c r="W131" s="4">
        <v>356</v>
      </c>
      <c r="X131" s="9">
        <f t="shared" si="78"/>
        <v>492</v>
      </c>
      <c r="Y131" s="161">
        <f t="shared" si="85"/>
        <v>31370</v>
      </c>
      <c r="Z131" s="244">
        <f t="shared" si="72"/>
        <v>1.5683774306662415E-2</v>
      </c>
      <c r="AA131" s="24">
        <f t="shared" si="73"/>
        <v>63.760162601626021</v>
      </c>
      <c r="AB131" s="259">
        <f t="shared" si="84"/>
        <v>9.9265435775263062E-4</v>
      </c>
      <c r="AC131" s="258">
        <f t="shared" si="74"/>
        <v>2.199205448354143E-3</v>
      </c>
      <c r="AD131" s="78">
        <f t="shared" si="75"/>
        <v>6.1808718282368252E-2</v>
      </c>
      <c r="AE131" s="253">
        <f t="shared" si="76"/>
        <v>7.0341829677929263E-2</v>
      </c>
      <c r="AF131" s="173"/>
    </row>
    <row r="132" spans="1:36" ht="16" thickBot="1" x14ac:dyDescent="0.25">
      <c r="A132" s="345"/>
      <c r="B132" s="55" t="s">
        <v>48</v>
      </c>
      <c r="C132" s="36">
        <v>4500</v>
      </c>
      <c r="D132" s="4">
        <v>1742</v>
      </c>
      <c r="E132" s="2">
        <v>59</v>
      </c>
      <c r="F132" s="150">
        <f>SUM(C132:D132)</f>
        <v>6242</v>
      </c>
      <c r="G132" s="2">
        <v>5237</v>
      </c>
      <c r="H132" s="279">
        <v>47</v>
      </c>
      <c r="I132" s="281">
        <v>0</v>
      </c>
      <c r="J132" s="27">
        <v>4395</v>
      </c>
      <c r="K132" s="28">
        <v>982</v>
      </c>
      <c r="L132" s="28">
        <v>0</v>
      </c>
      <c r="M132" s="152">
        <f t="shared" si="81"/>
        <v>16903</v>
      </c>
      <c r="N132" s="37">
        <f t="shared" si="82"/>
        <v>16962</v>
      </c>
      <c r="O132" s="36">
        <v>7539</v>
      </c>
      <c r="P132" s="4">
        <v>1750</v>
      </c>
      <c r="Q132" s="313"/>
      <c r="R132" s="160">
        <v>457</v>
      </c>
      <c r="S132" s="75">
        <f t="shared" si="83"/>
        <v>9746</v>
      </c>
      <c r="T132" s="36">
        <v>85</v>
      </c>
      <c r="U132" s="4">
        <v>174</v>
      </c>
      <c r="V132" s="4">
        <v>45</v>
      </c>
      <c r="W132" s="4">
        <v>51</v>
      </c>
      <c r="X132" s="9">
        <f t="shared" si="78"/>
        <v>355</v>
      </c>
      <c r="Y132" s="165">
        <f t="shared" si="85"/>
        <v>27004</v>
      </c>
      <c r="Z132" s="244">
        <f t="shared" si="72"/>
        <v>1.3146200562879573E-2</v>
      </c>
      <c r="AA132" s="24">
        <f t="shared" si="73"/>
        <v>76.067605633802813</v>
      </c>
      <c r="AB132" s="259">
        <f t="shared" si="84"/>
        <v>6.5379586185678028E-3</v>
      </c>
      <c r="AC132" s="258">
        <f t="shared" si="74"/>
        <v>2.4139844617092121E-2</v>
      </c>
      <c r="AD132" s="78">
        <f t="shared" si="75"/>
        <v>2.437703141928494E-2</v>
      </c>
      <c r="AE132" s="253">
        <f t="shared" si="76"/>
        <v>1.1206328279499011E-2</v>
      </c>
      <c r="AF132" s="173"/>
    </row>
    <row r="133" spans="1:36" s="3" customFormat="1" x14ac:dyDescent="0.2">
      <c r="A133" s="236"/>
      <c r="B133" s="211" t="s">
        <v>75</v>
      </c>
      <c r="C133" s="216">
        <f t="shared" ref="C133:S133" si="86">SUM(C121:C132)</f>
        <v>39910</v>
      </c>
      <c r="D133" s="72">
        <f t="shared" si="86"/>
        <v>15708</v>
      </c>
      <c r="E133" s="72">
        <f t="shared" si="86"/>
        <v>1234</v>
      </c>
      <c r="F133" s="216">
        <f t="shared" si="86"/>
        <v>55618</v>
      </c>
      <c r="G133" s="216">
        <f t="shared" si="86"/>
        <v>157652</v>
      </c>
      <c r="H133" s="84">
        <f t="shared" si="86"/>
        <v>381</v>
      </c>
      <c r="I133" s="72">
        <f t="shared" si="86"/>
        <v>5625</v>
      </c>
      <c r="J133" s="29">
        <f t="shared" si="86"/>
        <v>41180</v>
      </c>
      <c r="K133" s="29">
        <f t="shared" si="86"/>
        <v>11616</v>
      </c>
      <c r="L133" s="29">
        <f t="shared" si="86"/>
        <v>0</v>
      </c>
      <c r="M133" s="72">
        <f t="shared" si="86"/>
        <v>266447</v>
      </c>
      <c r="N133" s="72">
        <f>SUM(N121:N132)</f>
        <v>273306</v>
      </c>
      <c r="O133" s="130">
        <f t="shared" si="86"/>
        <v>57226</v>
      </c>
      <c r="P133" s="20">
        <f t="shared" si="86"/>
        <v>17025</v>
      </c>
      <c r="Q133" s="20">
        <f t="shared" si="86"/>
        <v>48741</v>
      </c>
      <c r="R133" s="20">
        <f t="shared" si="86"/>
        <v>5784</v>
      </c>
      <c r="S133" s="20">
        <f t="shared" si="86"/>
        <v>128776</v>
      </c>
      <c r="T133" s="44">
        <f t="shared" ref="T133:V133" si="87">SUM(T121:T132)</f>
        <v>171</v>
      </c>
      <c r="U133" s="60">
        <f t="shared" si="87"/>
        <v>2526</v>
      </c>
      <c r="V133" s="60">
        <f t="shared" si="87"/>
        <v>458</v>
      </c>
      <c r="W133" s="60">
        <f>SUM(W121:W132)</f>
        <v>959</v>
      </c>
      <c r="X133" s="41">
        <f t="shared" si="78"/>
        <v>4114</v>
      </c>
      <c r="Y133" s="166">
        <f t="shared" si="85"/>
        <v>399337</v>
      </c>
      <c r="Z133" s="318">
        <f t="shared" si="72"/>
        <v>1.0302075690456932E-2</v>
      </c>
      <c r="AA133" s="320">
        <f t="shared" si="73"/>
        <v>97.067817209528442</v>
      </c>
      <c r="AB133" s="319">
        <f t="shared" ref="AB133:AB142" si="88">T133/(J133+K133+L133+O133+T133)</f>
        <v>1.5518227110615011E-3</v>
      </c>
      <c r="AC133" s="319">
        <f t="shared" ref="AC133:AC142" si="89">U133/(G133+H133+P133+U133+Q133)</f>
        <v>1.1160941124489119E-2</v>
      </c>
      <c r="AD133" s="321">
        <f t="shared" ref="AD133:AD142" si="90">V133/(D133+E133+V133)</f>
        <v>2.632183908045977E-2</v>
      </c>
      <c r="AE133" s="322">
        <f t="shared" ref="AE133:AE142" si="91">W133/(C133+W133)</f>
        <v>2.3465218135995499E-2</v>
      </c>
      <c r="AF133" s="172"/>
    </row>
    <row r="134" spans="1:36" s="3" customFormat="1" ht="15" customHeight="1" x14ac:dyDescent="0.2">
      <c r="A134" s="343">
        <v>2024</v>
      </c>
      <c r="B134" s="68" t="s">
        <v>37</v>
      </c>
      <c r="C134" s="95">
        <v>7270</v>
      </c>
      <c r="D134" s="4">
        <v>704</v>
      </c>
      <c r="E134" s="4">
        <v>93</v>
      </c>
      <c r="F134" s="150">
        <f>SUM(C134:D134)</f>
        <v>7974</v>
      </c>
      <c r="G134" s="270">
        <v>2258</v>
      </c>
      <c r="H134" s="155">
        <v>35</v>
      </c>
      <c r="I134" s="95">
        <v>321</v>
      </c>
      <c r="J134" s="80">
        <v>3307</v>
      </c>
      <c r="K134" s="314">
        <v>975</v>
      </c>
      <c r="L134" s="315">
        <v>0</v>
      </c>
      <c r="M134" s="152">
        <f>SUM(F134,G134,H134,J134,K134)</f>
        <v>14549</v>
      </c>
      <c r="N134" s="37">
        <f>SUM(C134+D134+E134+G134+H134+I134+J134+K134+L134)</f>
        <v>14963</v>
      </c>
      <c r="O134" s="36">
        <v>3654</v>
      </c>
      <c r="P134" s="4">
        <v>429</v>
      </c>
      <c r="Q134" s="265">
        <v>1630</v>
      </c>
      <c r="R134" s="10">
        <v>273</v>
      </c>
      <c r="S134" s="75">
        <f>SUM(O134:R134)</f>
        <v>5986</v>
      </c>
      <c r="T134" s="76">
        <v>23</v>
      </c>
      <c r="U134" s="159">
        <v>89</v>
      </c>
      <c r="V134" s="159">
        <v>52</v>
      </c>
      <c r="W134" s="159">
        <v>9</v>
      </c>
      <c r="X134" s="9">
        <f>SUM(T134:W134)</f>
        <v>173</v>
      </c>
      <c r="Y134" s="161">
        <f>SUM(M134,S134,X134)</f>
        <v>20708</v>
      </c>
      <c r="Z134" s="244">
        <f t="shared" si="72"/>
        <v>8.3542592234885065E-3</v>
      </c>
      <c r="AA134" s="1">
        <f t="shared" si="73"/>
        <v>119.69942196531792</v>
      </c>
      <c r="AB134" s="78">
        <f t="shared" si="88"/>
        <v>2.8898102776730747E-3</v>
      </c>
      <c r="AC134" s="249">
        <f t="shared" si="89"/>
        <v>2.0040531411844181E-2</v>
      </c>
      <c r="AD134" s="78">
        <f t="shared" si="90"/>
        <v>6.1248527679623084E-2</v>
      </c>
      <c r="AE134" s="253">
        <f t="shared" si="91"/>
        <v>1.2364335760406649E-3</v>
      </c>
      <c r="AF134" s="173"/>
    </row>
    <row r="135" spans="1:36" ht="15" customHeight="1" x14ac:dyDescent="0.2">
      <c r="A135" s="344"/>
      <c r="B135" s="68" t="s">
        <v>38</v>
      </c>
      <c r="C135" s="95">
        <v>4662</v>
      </c>
      <c r="D135" s="4">
        <v>849</v>
      </c>
      <c r="E135" s="4">
        <v>457</v>
      </c>
      <c r="F135" s="150">
        <f t="shared" ref="F135:F145" si="92">SUM(C135:D135)</f>
        <v>5511</v>
      </c>
      <c r="G135" s="270">
        <v>2301</v>
      </c>
      <c r="H135" s="155">
        <v>32</v>
      </c>
      <c r="I135" s="95">
        <v>366</v>
      </c>
      <c r="J135" s="80">
        <v>3950</v>
      </c>
      <c r="K135" s="283">
        <v>800</v>
      </c>
      <c r="L135" s="277">
        <v>0</v>
      </c>
      <c r="M135" s="152">
        <f t="shared" ref="M135:M136" si="93">SUM(F135,G135,H135,J135,K135)</f>
        <v>12594</v>
      </c>
      <c r="N135" s="37">
        <f t="shared" ref="N135:N145" si="94">SUM(C135+D135+E135+G135+H135+I135+J135+K135+L135)</f>
        <v>13417</v>
      </c>
      <c r="O135" s="36">
        <v>6099</v>
      </c>
      <c r="P135" s="4">
        <v>1104</v>
      </c>
      <c r="Q135" s="4">
        <v>1478</v>
      </c>
      <c r="R135" s="4">
        <v>249</v>
      </c>
      <c r="S135" s="75">
        <f t="shared" ref="S135:S141" si="95">SUM(O135:R135)</f>
        <v>8930</v>
      </c>
      <c r="T135" s="159">
        <v>4</v>
      </c>
      <c r="U135" s="159">
        <v>120</v>
      </c>
      <c r="V135" s="159">
        <v>89</v>
      </c>
      <c r="W135" s="159">
        <v>29</v>
      </c>
      <c r="X135" s="9">
        <f t="shared" ref="X135:X145" si="96">SUM(T135:W135)</f>
        <v>242</v>
      </c>
      <c r="Y135" s="161">
        <f t="shared" si="85"/>
        <v>21766</v>
      </c>
      <c r="Z135" s="244">
        <f t="shared" si="72"/>
        <v>1.1118257833318018E-2</v>
      </c>
      <c r="AA135" s="1">
        <f t="shared" si="73"/>
        <v>89.942148760330582</v>
      </c>
      <c r="AB135" s="78">
        <f t="shared" si="88"/>
        <v>3.6856168801253111E-4</v>
      </c>
      <c r="AC135" s="249">
        <f t="shared" si="89"/>
        <v>2.3833167825223437E-2</v>
      </c>
      <c r="AD135" s="78">
        <f t="shared" si="90"/>
        <v>6.3799283154121866E-2</v>
      </c>
      <c r="AE135" s="253">
        <f t="shared" si="91"/>
        <v>6.1820507354508631E-3</v>
      </c>
      <c r="AF135" s="173"/>
      <c r="AG135" s="3"/>
      <c r="AH135" s="3"/>
    </row>
    <row r="136" spans="1:36" ht="15" customHeight="1" x14ac:dyDescent="0.2">
      <c r="A136" s="344"/>
      <c r="B136" s="68" t="s">
        <v>58</v>
      </c>
      <c r="C136" s="95">
        <v>1183</v>
      </c>
      <c r="D136" s="4">
        <v>683</v>
      </c>
      <c r="E136" s="4">
        <v>255</v>
      </c>
      <c r="F136" s="150">
        <f t="shared" si="92"/>
        <v>1866</v>
      </c>
      <c r="G136" s="271">
        <v>6857</v>
      </c>
      <c r="H136" s="155">
        <v>1</v>
      </c>
      <c r="I136" s="95">
        <v>406</v>
      </c>
      <c r="J136" s="80">
        <v>2215</v>
      </c>
      <c r="K136" s="284">
        <v>1140</v>
      </c>
      <c r="L136" s="278">
        <v>0</v>
      </c>
      <c r="M136" s="152">
        <f t="shared" si="93"/>
        <v>12079</v>
      </c>
      <c r="N136" s="37">
        <f t="shared" si="94"/>
        <v>12740</v>
      </c>
      <c r="O136" s="36">
        <v>3058</v>
      </c>
      <c r="P136" s="4">
        <v>2597</v>
      </c>
      <c r="Q136" s="4">
        <v>5424</v>
      </c>
      <c r="R136" s="4">
        <v>394</v>
      </c>
      <c r="S136" s="75">
        <f t="shared" si="95"/>
        <v>11473</v>
      </c>
      <c r="T136" s="159">
        <v>22</v>
      </c>
      <c r="U136" s="159">
        <v>170</v>
      </c>
      <c r="V136" s="159">
        <v>26</v>
      </c>
      <c r="W136" s="159">
        <v>77</v>
      </c>
      <c r="X136" s="9">
        <f t="shared" si="96"/>
        <v>295</v>
      </c>
      <c r="Y136" s="161">
        <f t="shared" si="85"/>
        <v>23847</v>
      </c>
      <c r="Z136" s="244">
        <f t="shared" si="72"/>
        <v>1.2370528787688179E-2</v>
      </c>
      <c r="AA136" s="1">
        <f t="shared" si="73"/>
        <v>80.837288135593212</v>
      </c>
      <c r="AB136" s="78">
        <f t="shared" si="88"/>
        <v>3.4188034188034188E-3</v>
      </c>
      <c r="AC136" s="249">
        <f t="shared" si="89"/>
        <v>1.1296431656588477E-2</v>
      </c>
      <c r="AD136" s="78">
        <f t="shared" si="90"/>
        <v>2.6970954356846474E-2</v>
      </c>
      <c r="AE136" s="253">
        <f t="shared" si="91"/>
        <v>6.1111111111111109E-2</v>
      </c>
      <c r="AF136" s="173"/>
      <c r="AG136" s="42"/>
      <c r="AH136" s="86"/>
      <c r="AI136" s="86"/>
      <c r="AJ136" s="6"/>
    </row>
    <row r="137" spans="1:36" x14ac:dyDescent="0.2">
      <c r="A137" s="344"/>
      <c r="B137" s="68" t="s">
        <v>59</v>
      </c>
      <c r="C137" s="95">
        <v>2778</v>
      </c>
      <c r="D137" s="4">
        <v>581</v>
      </c>
      <c r="E137" s="4">
        <v>103</v>
      </c>
      <c r="F137" s="150">
        <f t="shared" si="92"/>
        <v>3359</v>
      </c>
      <c r="G137" s="51">
        <v>4721</v>
      </c>
      <c r="H137" s="155">
        <v>0</v>
      </c>
      <c r="I137" s="151">
        <v>596</v>
      </c>
      <c r="J137" s="272">
        <v>2020</v>
      </c>
      <c r="K137" s="283">
        <v>1525</v>
      </c>
      <c r="L137" s="277">
        <v>0</v>
      </c>
      <c r="M137" s="152">
        <f>SUM(F137,G137,H137,J137,K137)</f>
        <v>11625</v>
      </c>
      <c r="N137" s="37">
        <f t="shared" si="94"/>
        <v>12324</v>
      </c>
      <c r="O137" s="36">
        <v>3116</v>
      </c>
      <c r="P137" s="4">
        <v>1011</v>
      </c>
      <c r="Q137" s="4">
        <v>8249</v>
      </c>
      <c r="R137" s="10">
        <v>179</v>
      </c>
      <c r="S137" s="75">
        <f t="shared" si="95"/>
        <v>12555</v>
      </c>
      <c r="T137" s="159">
        <v>9</v>
      </c>
      <c r="U137" s="159">
        <v>184</v>
      </c>
      <c r="V137" s="159">
        <v>7</v>
      </c>
      <c r="W137" s="159">
        <v>60</v>
      </c>
      <c r="X137" s="9">
        <f t="shared" si="96"/>
        <v>260</v>
      </c>
      <c r="Y137" s="161">
        <f t="shared" si="85"/>
        <v>24440</v>
      </c>
      <c r="Z137" s="244">
        <f t="shared" si="72"/>
        <v>1.0638297872340425E-2</v>
      </c>
      <c r="AA137" s="1">
        <f t="shared" si="73"/>
        <v>94</v>
      </c>
      <c r="AB137" s="78">
        <f t="shared" si="88"/>
        <v>1.3493253373313343E-3</v>
      </c>
      <c r="AC137" s="249">
        <f t="shared" si="89"/>
        <v>1.2989763501588421E-2</v>
      </c>
      <c r="AD137" s="78">
        <f t="shared" si="90"/>
        <v>1.0130246020260492E-2</v>
      </c>
      <c r="AE137" s="253">
        <f t="shared" si="91"/>
        <v>2.1141649048625793E-2</v>
      </c>
      <c r="AF137" s="173"/>
      <c r="AG137" s="87"/>
      <c r="AJ137" s="88"/>
    </row>
    <row r="138" spans="1:36" ht="15" customHeight="1" x14ac:dyDescent="0.2">
      <c r="A138" s="344"/>
      <c r="B138" s="68" t="s">
        <v>41</v>
      </c>
      <c r="C138" s="95">
        <v>1281</v>
      </c>
      <c r="D138" s="4">
        <v>920</v>
      </c>
      <c r="E138" s="4">
        <v>164</v>
      </c>
      <c r="F138" s="150">
        <f t="shared" si="92"/>
        <v>2201</v>
      </c>
      <c r="G138" s="269">
        <v>4976</v>
      </c>
      <c r="H138" s="155">
        <v>0</v>
      </c>
      <c r="I138" s="151">
        <v>543</v>
      </c>
      <c r="J138" s="272">
        <v>3721</v>
      </c>
      <c r="K138" s="103">
        <v>280</v>
      </c>
      <c r="L138" s="266">
        <v>0</v>
      </c>
      <c r="M138" s="152">
        <f t="shared" ref="M138:M145" si="97">SUM(F138,G138,H138,J138,K138)</f>
        <v>11178</v>
      </c>
      <c r="N138" s="37">
        <f t="shared" si="94"/>
        <v>11885</v>
      </c>
      <c r="O138" s="36">
        <v>3665</v>
      </c>
      <c r="P138" s="4">
        <v>1694</v>
      </c>
      <c r="Q138" s="159">
        <v>451</v>
      </c>
      <c r="R138" s="159">
        <v>348</v>
      </c>
      <c r="S138" s="75">
        <f t="shared" si="95"/>
        <v>6158</v>
      </c>
      <c r="T138" s="159">
        <v>5</v>
      </c>
      <c r="U138" s="159">
        <v>187</v>
      </c>
      <c r="V138" s="159">
        <v>100</v>
      </c>
      <c r="W138" s="159">
        <v>74</v>
      </c>
      <c r="X138" s="9">
        <f t="shared" si="96"/>
        <v>366</v>
      </c>
      <c r="Y138" s="161">
        <f t="shared" si="85"/>
        <v>17702</v>
      </c>
      <c r="Z138" s="244">
        <f t="shared" si="72"/>
        <v>2.0675629872330809E-2</v>
      </c>
      <c r="AA138" s="1">
        <f t="shared" si="73"/>
        <v>48.36612021857924</v>
      </c>
      <c r="AB138" s="78">
        <f t="shared" si="88"/>
        <v>6.5180550123843041E-4</v>
      </c>
      <c r="AC138" s="249">
        <f t="shared" si="89"/>
        <v>2.5588396278051449E-2</v>
      </c>
      <c r="AD138" s="78">
        <f t="shared" si="90"/>
        <v>8.4459459459459457E-2</v>
      </c>
      <c r="AE138" s="253">
        <f t="shared" si="91"/>
        <v>5.4612546125461257E-2</v>
      </c>
      <c r="AF138" s="173"/>
      <c r="AG138" s="89"/>
      <c r="AH138" s="90"/>
      <c r="AI138" s="90"/>
      <c r="AJ138" s="91"/>
    </row>
    <row r="139" spans="1:36" s="3" customFormat="1" ht="15" customHeight="1" x14ac:dyDescent="0.2">
      <c r="A139" s="344"/>
      <c r="B139" s="5" t="s">
        <v>42</v>
      </c>
      <c r="C139" s="95">
        <v>2083</v>
      </c>
      <c r="D139" s="4">
        <v>732</v>
      </c>
      <c r="E139" s="4">
        <v>100</v>
      </c>
      <c r="F139" s="150">
        <f t="shared" si="92"/>
        <v>2815</v>
      </c>
      <c r="G139" s="27">
        <v>4902</v>
      </c>
      <c r="H139" s="155">
        <v>0</v>
      </c>
      <c r="I139" s="151">
        <v>556</v>
      </c>
      <c r="J139" s="273">
        <v>2718</v>
      </c>
      <c r="K139" s="274">
        <v>170</v>
      </c>
      <c r="L139" s="296">
        <v>0</v>
      </c>
      <c r="M139" s="152">
        <f t="shared" si="97"/>
        <v>10605</v>
      </c>
      <c r="N139" s="37">
        <f t="shared" si="94"/>
        <v>11261</v>
      </c>
      <c r="O139" s="36">
        <v>3756</v>
      </c>
      <c r="P139" s="4">
        <v>2318</v>
      </c>
      <c r="Q139" s="159">
        <v>2363</v>
      </c>
      <c r="R139" s="265">
        <v>179</v>
      </c>
      <c r="S139" s="75">
        <f t="shared" si="95"/>
        <v>8616</v>
      </c>
      <c r="T139" s="159">
        <v>0</v>
      </c>
      <c r="U139" s="159">
        <v>128</v>
      </c>
      <c r="V139" s="159">
        <v>38</v>
      </c>
      <c r="W139" s="159">
        <v>85</v>
      </c>
      <c r="X139" s="9">
        <f t="shared" si="96"/>
        <v>251</v>
      </c>
      <c r="Y139" s="161">
        <f t="shared" si="85"/>
        <v>19472</v>
      </c>
      <c r="Z139" s="244">
        <f t="shared" si="72"/>
        <v>1.2890304026294166E-2</v>
      </c>
      <c r="AA139" s="1">
        <f t="shared" si="73"/>
        <v>77.577689243027891</v>
      </c>
      <c r="AB139" s="78">
        <f t="shared" si="88"/>
        <v>0</v>
      </c>
      <c r="AC139" s="249">
        <f t="shared" si="89"/>
        <v>1.3180928843579446E-2</v>
      </c>
      <c r="AD139" s="78">
        <f t="shared" si="90"/>
        <v>4.3678160919540229E-2</v>
      </c>
      <c r="AE139" s="253">
        <f t="shared" si="91"/>
        <v>3.9206642066420667E-2</v>
      </c>
      <c r="AF139" s="300"/>
      <c r="AG139" s="74"/>
      <c r="AH139" s="74"/>
      <c r="AI139" s="74"/>
      <c r="AJ139" s="74"/>
    </row>
    <row r="140" spans="1:36" s="302" customFormat="1" x14ac:dyDescent="0.2">
      <c r="A140" s="344"/>
      <c r="B140" s="213" t="s">
        <v>43</v>
      </c>
      <c r="C140" s="95">
        <v>2213</v>
      </c>
      <c r="D140" s="4">
        <v>1701</v>
      </c>
      <c r="E140" s="4">
        <v>219</v>
      </c>
      <c r="F140" s="150">
        <f t="shared" si="92"/>
        <v>3914</v>
      </c>
      <c r="G140" s="27">
        <v>7465</v>
      </c>
      <c r="H140" s="156">
        <v>28</v>
      </c>
      <c r="I140" s="151">
        <v>826</v>
      </c>
      <c r="J140" s="26">
        <v>4311</v>
      </c>
      <c r="K140" s="324">
        <v>190</v>
      </c>
      <c r="L140" s="305">
        <v>0</v>
      </c>
      <c r="M140" s="152">
        <f t="shared" si="97"/>
        <v>15908</v>
      </c>
      <c r="N140" s="37">
        <f t="shared" si="94"/>
        <v>16953</v>
      </c>
      <c r="O140" s="47">
        <v>4473</v>
      </c>
      <c r="P140" s="4">
        <v>2864</v>
      </c>
      <c r="Q140" s="159">
        <v>116</v>
      </c>
      <c r="R140" s="308">
        <v>826</v>
      </c>
      <c r="S140" s="75">
        <f t="shared" si="95"/>
        <v>8279</v>
      </c>
      <c r="T140" s="47">
        <v>8</v>
      </c>
      <c r="U140" s="31">
        <v>81</v>
      </c>
      <c r="V140" s="31">
        <v>5</v>
      </c>
      <c r="W140" s="31">
        <v>378</v>
      </c>
      <c r="X140" s="9">
        <f t="shared" si="96"/>
        <v>472</v>
      </c>
      <c r="Y140" s="161">
        <f t="shared" si="85"/>
        <v>24659</v>
      </c>
      <c r="Z140" s="244">
        <f t="shared" si="72"/>
        <v>1.9141084391094531E-2</v>
      </c>
      <c r="AA140" s="1">
        <f t="shared" si="73"/>
        <v>52.243644067796609</v>
      </c>
      <c r="AB140" s="78">
        <f t="shared" si="88"/>
        <v>8.9067022934758409E-4</v>
      </c>
      <c r="AC140" s="249">
        <f t="shared" si="89"/>
        <v>7.6748152359295057E-3</v>
      </c>
      <c r="AD140" s="78">
        <f t="shared" si="90"/>
        <v>2.5974025974025974E-3</v>
      </c>
      <c r="AE140" s="253">
        <f t="shared" si="91"/>
        <v>0.14588961790814359</v>
      </c>
      <c r="AF140" s="300"/>
      <c r="AG140" s="301"/>
    </row>
    <row r="141" spans="1:36" s="3" customFormat="1" x14ac:dyDescent="0.2">
      <c r="A141" s="344"/>
      <c r="B141" s="5" t="s">
        <v>44</v>
      </c>
      <c r="C141" s="95">
        <v>4054</v>
      </c>
      <c r="D141" s="4">
        <v>1787</v>
      </c>
      <c r="E141" s="4">
        <v>584</v>
      </c>
      <c r="F141" s="150">
        <f t="shared" si="92"/>
        <v>5841</v>
      </c>
      <c r="G141" s="27">
        <v>8526</v>
      </c>
      <c r="H141" s="55">
        <v>1</v>
      </c>
      <c r="I141" s="80">
        <v>848</v>
      </c>
      <c r="J141" s="96">
        <v>6086</v>
      </c>
      <c r="K141" s="323">
        <v>265</v>
      </c>
      <c r="L141" s="27">
        <v>0</v>
      </c>
      <c r="M141" s="152">
        <f t="shared" si="97"/>
        <v>20719</v>
      </c>
      <c r="N141" s="37">
        <f t="shared" si="94"/>
        <v>22151</v>
      </c>
      <c r="O141" s="36">
        <v>6431</v>
      </c>
      <c r="P141" s="4">
        <v>3100</v>
      </c>
      <c r="Q141" s="4">
        <v>42</v>
      </c>
      <c r="R141" s="10">
        <v>731</v>
      </c>
      <c r="S141" s="75">
        <f t="shared" si="95"/>
        <v>10304</v>
      </c>
      <c r="T141" s="36">
        <v>2</v>
      </c>
      <c r="U141" s="4">
        <v>94</v>
      </c>
      <c r="V141" s="4">
        <v>11</v>
      </c>
      <c r="W141" s="4">
        <v>38</v>
      </c>
      <c r="X141" s="9">
        <f t="shared" si="96"/>
        <v>145</v>
      </c>
      <c r="Y141" s="161">
        <f t="shared" si="85"/>
        <v>31168</v>
      </c>
      <c r="Z141" s="244">
        <f t="shared" si="72"/>
        <v>4.6522073921971257E-3</v>
      </c>
      <c r="AA141" s="1">
        <f t="shared" si="73"/>
        <v>214.95172413793102</v>
      </c>
      <c r="AB141" s="78">
        <f t="shared" si="88"/>
        <v>1.5644555694618273E-4</v>
      </c>
      <c r="AC141" s="249">
        <f t="shared" si="89"/>
        <v>7.9911587180141117E-3</v>
      </c>
      <c r="AD141" s="78">
        <f t="shared" si="90"/>
        <v>4.6179680940386233E-3</v>
      </c>
      <c r="AE141" s="253">
        <f t="shared" si="91"/>
        <v>9.2864125122189643E-3</v>
      </c>
      <c r="AF141" s="172"/>
    </row>
    <row r="142" spans="1:36" x14ac:dyDescent="0.2">
      <c r="A142" s="344"/>
      <c r="B142" s="5" t="s">
        <v>45</v>
      </c>
      <c r="C142" s="95">
        <v>5284</v>
      </c>
      <c r="D142" s="4">
        <v>1311</v>
      </c>
      <c r="E142" s="4">
        <v>180</v>
      </c>
      <c r="F142" s="150">
        <f t="shared" si="92"/>
        <v>6595</v>
      </c>
      <c r="G142" s="27">
        <v>7685</v>
      </c>
      <c r="H142" s="306">
        <v>6</v>
      </c>
      <c r="I142" s="307">
        <v>1062</v>
      </c>
      <c r="J142" s="2">
        <v>7102</v>
      </c>
      <c r="K142" s="335">
        <v>300</v>
      </c>
      <c r="L142" s="28">
        <v>0</v>
      </c>
      <c r="M142" s="336">
        <f t="shared" si="97"/>
        <v>21688</v>
      </c>
      <c r="N142" s="337">
        <f t="shared" si="94"/>
        <v>22930</v>
      </c>
      <c r="O142" s="47">
        <v>6430</v>
      </c>
      <c r="P142" s="4">
        <v>2515</v>
      </c>
      <c r="Q142" s="4">
        <v>170</v>
      </c>
      <c r="R142" s="10">
        <v>855</v>
      </c>
      <c r="S142" s="75">
        <f>SUM(O142:R142)</f>
        <v>9970</v>
      </c>
      <c r="T142" s="36">
        <v>5</v>
      </c>
      <c r="U142" s="4">
        <v>198</v>
      </c>
      <c r="V142" s="4">
        <v>35</v>
      </c>
      <c r="W142" s="4">
        <v>128</v>
      </c>
      <c r="X142" s="9">
        <f t="shared" si="96"/>
        <v>366</v>
      </c>
      <c r="Y142" s="161">
        <f t="shared" si="85"/>
        <v>32024</v>
      </c>
      <c r="Z142" s="244">
        <f t="shared" si="72"/>
        <v>1.142892830377217E-2</v>
      </c>
      <c r="AA142" s="1">
        <f t="shared" si="73"/>
        <v>87.497267759562845</v>
      </c>
      <c r="AB142" s="78">
        <f t="shared" si="88"/>
        <v>3.6135000361350004E-4</v>
      </c>
      <c r="AC142" s="249">
        <f t="shared" si="89"/>
        <v>1.8725174957442785E-2</v>
      </c>
      <c r="AD142" s="78">
        <f t="shared" si="90"/>
        <v>2.2935779816513763E-2</v>
      </c>
      <c r="AE142" s="253">
        <f t="shared" si="91"/>
        <v>2.3651145602365115E-2</v>
      </c>
      <c r="AF142" s="173"/>
    </row>
    <row r="143" spans="1:36" x14ac:dyDescent="0.2">
      <c r="A143" s="344"/>
      <c r="B143" s="5" t="s">
        <v>46</v>
      </c>
      <c r="C143" s="95">
        <v>3279</v>
      </c>
      <c r="D143" s="4">
        <v>1501</v>
      </c>
      <c r="E143" s="93">
        <v>154</v>
      </c>
      <c r="F143" s="150">
        <f t="shared" si="92"/>
        <v>4780</v>
      </c>
      <c r="G143" s="2">
        <v>5722</v>
      </c>
      <c r="H143" s="55">
        <v>52</v>
      </c>
      <c r="I143" s="47">
        <v>0</v>
      </c>
      <c r="J143" s="36">
        <v>7699</v>
      </c>
      <c r="K143" s="316">
        <v>480</v>
      </c>
      <c r="L143" s="316">
        <v>0</v>
      </c>
      <c r="M143" s="336">
        <f t="shared" si="97"/>
        <v>18733</v>
      </c>
      <c r="N143" s="337">
        <f>SUM(C143+D143+E143+G143+H143+I143+J143+K143+L143)</f>
        <v>18887</v>
      </c>
      <c r="O143" s="36">
        <v>5084</v>
      </c>
      <c r="P143" s="4">
        <v>1501</v>
      </c>
      <c r="Q143" s="4">
        <v>230</v>
      </c>
      <c r="R143" s="4">
        <v>880</v>
      </c>
      <c r="S143" s="75">
        <f>SUM(O143:R143)</f>
        <v>7695</v>
      </c>
      <c r="T143" s="36">
        <v>10</v>
      </c>
      <c r="U143" s="4">
        <v>102</v>
      </c>
      <c r="V143" s="4">
        <v>16</v>
      </c>
      <c r="W143">
        <v>39</v>
      </c>
      <c r="X143" s="9">
        <f t="shared" si="96"/>
        <v>167</v>
      </c>
      <c r="Y143" s="161">
        <f>SUM(M143,S143,X143)</f>
        <v>26595</v>
      </c>
      <c r="Z143" s="244">
        <f t="shared" ref="Z143" si="98">X143/Y143</f>
        <v>6.2793758225230308E-3</v>
      </c>
      <c r="AA143" s="1">
        <f t="shared" ref="AA143" si="99">1/Z143</f>
        <v>159.25149700598803</v>
      </c>
      <c r="AB143" s="78">
        <f t="shared" ref="AB143" si="100">T143/(J143+K143+L143+O143+T143)</f>
        <v>7.5340917652377002E-4</v>
      </c>
      <c r="AC143" s="249">
        <f t="shared" ref="AC143" si="101">U143/(G143+H143+P143+U143+Q143)</f>
        <v>1.3408702510845274E-2</v>
      </c>
      <c r="AD143" s="78">
        <f t="shared" ref="AD143" si="102">V143/(D143+E143+V143)</f>
        <v>9.5751047277079591E-3</v>
      </c>
      <c r="AE143" s="253">
        <f t="shared" ref="AE143" si="103">W143/(C143+W143)</f>
        <v>1.1754068716094032E-2</v>
      </c>
      <c r="AF143" s="173"/>
      <c r="AG143" s="30"/>
      <c r="AH143" s="30"/>
      <c r="AI143" s="30"/>
      <c r="AJ143" s="30"/>
    </row>
    <row r="144" spans="1:36" x14ac:dyDescent="0.2">
      <c r="A144" s="344"/>
      <c r="B144" s="5" t="s">
        <v>47</v>
      </c>
      <c r="C144" s="95">
        <v>7338</v>
      </c>
      <c r="D144" s="4">
        <v>2347</v>
      </c>
      <c r="E144" s="141">
        <v>126</v>
      </c>
      <c r="F144" s="150">
        <f t="shared" si="92"/>
        <v>9685</v>
      </c>
      <c r="G144" s="2">
        <v>8124</v>
      </c>
      <c r="H144" s="328"/>
      <c r="I144" s="36">
        <v>0</v>
      </c>
      <c r="J144" s="27">
        <v>7008</v>
      </c>
      <c r="K144" s="28">
        <v>395</v>
      </c>
      <c r="L144" s="28">
        <v>0</v>
      </c>
      <c r="M144" s="336">
        <f t="shared" si="97"/>
        <v>25212</v>
      </c>
      <c r="N144" s="337">
        <f t="shared" si="94"/>
        <v>25338</v>
      </c>
      <c r="O144" s="36">
        <v>6355</v>
      </c>
      <c r="P144" s="4">
        <v>1712</v>
      </c>
      <c r="Q144" s="10">
        <v>125</v>
      </c>
      <c r="R144" s="160">
        <v>1083</v>
      </c>
      <c r="S144" s="334">
        <f>SUM(O144:R144)</f>
        <v>9275</v>
      </c>
      <c r="T144" s="36">
        <v>27</v>
      </c>
      <c r="U144" s="4">
        <v>161</v>
      </c>
      <c r="V144" s="4">
        <v>14</v>
      </c>
      <c r="W144" s="4">
        <v>77</v>
      </c>
      <c r="X144" s="9">
        <f t="shared" si="96"/>
        <v>279</v>
      </c>
      <c r="Y144" s="317">
        <f t="shared" ref="Y144:Y145" si="104">SUM(M144,S144,X144)</f>
        <v>34766</v>
      </c>
      <c r="Z144" s="329">
        <f t="shared" ref="Z144:Z145" si="105">X144/Y144</f>
        <v>8.0250819766438473E-3</v>
      </c>
      <c r="AA144" s="330">
        <f t="shared" ref="AA144:AA145" si="106">1/Z144</f>
        <v>124.60931899641578</v>
      </c>
      <c r="AB144" s="331">
        <f t="shared" ref="AB144:AB145" si="107">T144/(J144+K144+L144+O144+T144)</f>
        <v>1.9586507072905331E-3</v>
      </c>
      <c r="AC144" s="331">
        <f t="shared" ref="AC144:AC145" si="108">U144/(G144+H144+P144+U144+Q144)</f>
        <v>1.590594744121715E-2</v>
      </c>
      <c r="AD144" s="331">
        <f t="shared" ref="AD144:AD145" si="109">V144/(D144+E144+V144)</f>
        <v>5.6292722155207075E-3</v>
      </c>
      <c r="AE144" s="332">
        <f t="shared" ref="AE144:AE145" si="110">W144/(C144+W144)</f>
        <v>1.038435603506406E-2</v>
      </c>
      <c r="AF144" s="173"/>
    </row>
    <row r="145" spans="1:36" ht="16" thickBot="1" x14ac:dyDescent="0.25">
      <c r="A145" s="345"/>
      <c r="B145" s="55" t="s">
        <v>48</v>
      </c>
      <c r="C145" s="36">
        <v>4904</v>
      </c>
      <c r="D145" s="4">
        <v>1126</v>
      </c>
      <c r="E145" s="2">
        <v>43</v>
      </c>
      <c r="F145" s="150">
        <f t="shared" si="92"/>
        <v>6030</v>
      </c>
      <c r="G145" s="2">
        <v>3080</v>
      </c>
      <c r="H145" s="52">
        <v>83</v>
      </c>
      <c r="I145" s="281">
        <v>0</v>
      </c>
      <c r="J145" s="27">
        <v>4332</v>
      </c>
      <c r="K145" s="325"/>
      <c r="L145" s="325"/>
      <c r="M145" s="326">
        <f t="shared" si="97"/>
        <v>13525</v>
      </c>
      <c r="N145" s="327">
        <f t="shared" si="94"/>
        <v>13568</v>
      </c>
      <c r="O145" s="36">
        <v>3352</v>
      </c>
      <c r="P145" s="4">
        <v>923</v>
      </c>
      <c r="Q145" s="10">
        <v>116</v>
      </c>
      <c r="R145" s="160">
        <v>1120</v>
      </c>
      <c r="S145" s="334">
        <f t="shared" ref="S145" si="111">SUM(O145:R145)</f>
        <v>5511</v>
      </c>
      <c r="T145" s="36">
        <v>58</v>
      </c>
      <c r="U145" s="4">
        <v>205</v>
      </c>
      <c r="V145" s="4">
        <v>47</v>
      </c>
      <c r="W145" s="4">
        <v>92</v>
      </c>
      <c r="X145" s="9">
        <f t="shared" si="96"/>
        <v>402</v>
      </c>
      <c r="Y145" s="317">
        <f t="shared" si="104"/>
        <v>19438</v>
      </c>
      <c r="Z145" s="329">
        <f t="shared" si="105"/>
        <v>2.0681140034983024E-2</v>
      </c>
      <c r="AA145" s="330">
        <f t="shared" si="106"/>
        <v>48.353233830845767</v>
      </c>
      <c r="AB145" s="331">
        <f t="shared" si="107"/>
        <v>7.491604236631361E-3</v>
      </c>
      <c r="AC145" s="331">
        <f t="shared" si="108"/>
        <v>4.6516904923984567E-2</v>
      </c>
      <c r="AD145" s="331">
        <f t="shared" si="109"/>
        <v>3.8651315789473686E-2</v>
      </c>
      <c r="AE145" s="332">
        <f t="shared" si="110"/>
        <v>1.8414731785428344E-2</v>
      </c>
      <c r="AF145" s="173"/>
    </row>
    <row r="146" spans="1:36" s="3" customFormat="1" ht="16" thickBot="1" x14ac:dyDescent="0.25">
      <c r="A146" s="236"/>
      <c r="B146" s="211" t="s">
        <v>76</v>
      </c>
      <c r="C146" s="216">
        <f t="shared" ref="C146:R146" si="112">SUM(C134:C145)</f>
        <v>46329</v>
      </c>
      <c r="D146" s="72">
        <f t="shared" si="112"/>
        <v>14242</v>
      </c>
      <c r="E146" s="72">
        <f t="shared" si="112"/>
        <v>2478</v>
      </c>
      <c r="F146" s="216">
        <f>SUM(F134:F145)</f>
        <v>60571</v>
      </c>
      <c r="G146" s="216">
        <f t="shared" si="112"/>
        <v>66617</v>
      </c>
      <c r="H146" s="84">
        <f t="shared" si="112"/>
        <v>238</v>
      </c>
      <c r="I146" s="72">
        <f t="shared" si="112"/>
        <v>5524</v>
      </c>
      <c r="J146" s="29">
        <f t="shared" si="112"/>
        <v>54469</v>
      </c>
      <c r="K146" s="29">
        <f t="shared" si="112"/>
        <v>6520</v>
      </c>
      <c r="L146" s="29">
        <f t="shared" si="112"/>
        <v>0</v>
      </c>
      <c r="M146" s="72">
        <f t="shared" si="112"/>
        <v>188415</v>
      </c>
      <c r="N146" s="72">
        <f t="shared" si="112"/>
        <v>196417</v>
      </c>
      <c r="O146" s="130">
        <f t="shared" si="112"/>
        <v>55473</v>
      </c>
      <c r="P146" s="20">
        <f t="shared" si="112"/>
        <v>21768</v>
      </c>
      <c r="Q146" s="20">
        <f t="shared" si="112"/>
        <v>20394</v>
      </c>
      <c r="R146" s="20">
        <f t="shared" si="112"/>
        <v>7117</v>
      </c>
      <c r="S146" s="85">
        <f t="shared" ref="S146" si="113">SUM(O146:R146)</f>
        <v>104752</v>
      </c>
      <c r="T146" s="44">
        <f t="shared" ref="T146:V146" si="114">SUM(T134:T145)</f>
        <v>173</v>
      </c>
      <c r="U146" s="60">
        <f t="shared" si="114"/>
        <v>1719</v>
      </c>
      <c r="V146" s="60">
        <f t="shared" si="114"/>
        <v>440</v>
      </c>
      <c r="W146" s="60">
        <f>SUM(W134:W145)</f>
        <v>1086</v>
      </c>
      <c r="X146" s="41">
        <f t="shared" ref="X146" si="115">SUM(T146:W146)</f>
        <v>3418</v>
      </c>
      <c r="Y146" s="166">
        <f t="shared" ref="Y146" si="116">SUM(M146,S146,X146)</f>
        <v>296585</v>
      </c>
      <c r="Z146" s="262">
        <f t="shared" ref="Z146:Z158" si="117">X146/Y146</f>
        <v>1.1524520795050322E-2</v>
      </c>
      <c r="AA146" s="263"/>
      <c r="AB146" s="257">
        <f t="shared" ref="AB146:AB158" si="118">T146/(J146+K146+L146+O146+T146)</f>
        <v>1.4832597419299524E-3</v>
      </c>
      <c r="AC146" s="257">
        <f>U146/(G146+H146+P146+U146+Q146)</f>
        <v>1.5523407022106632E-2</v>
      </c>
      <c r="AD146" s="257">
        <f t="shared" ref="AD146:AD158" si="119">V146/(D146+E146+V146)</f>
        <v>2.564102564102564E-2</v>
      </c>
      <c r="AE146" s="261">
        <f t="shared" ref="AE146:AE158" si="120">W146/(C146+W146)</f>
        <v>2.2904144258146155E-2</v>
      </c>
      <c r="AF146" s="172"/>
    </row>
    <row r="147" spans="1:36" s="3" customFormat="1" ht="15" customHeight="1" x14ac:dyDescent="0.2">
      <c r="A147" s="343">
        <v>2025</v>
      </c>
      <c r="B147" s="68" t="s">
        <v>37</v>
      </c>
      <c r="C147" s="95">
        <v>4752</v>
      </c>
      <c r="D147" s="4">
        <v>609</v>
      </c>
      <c r="E147" s="4">
        <v>95</v>
      </c>
      <c r="F147" s="150">
        <v>5361</v>
      </c>
      <c r="G147" s="270">
        <v>3479</v>
      </c>
      <c r="H147" s="155">
        <v>27</v>
      </c>
      <c r="I147" s="338">
        <v>225</v>
      </c>
      <c r="J147" s="80">
        <v>3203</v>
      </c>
      <c r="K147" s="314">
        <v>143</v>
      </c>
      <c r="L147" s="315">
        <v>0</v>
      </c>
      <c r="M147" s="152">
        <f>SUM(F147,G147,H147,J147,K147)</f>
        <v>12213</v>
      </c>
      <c r="N147" s="37">
        <f>SUM(C147+D147+E147+G147+H147+I147+J147+K147+L147)</f>
        <v>12533</v>
      </c>
      <c r="O147" s="36">
        <v>3199</v>
      </c>
      <c r="P147" s="4">
        <v>2398</v>
      </c>
      <c r="Q147" s="265"/>
      <c r="R147" s="10"/>
      <c r="S147" s="75">
        <f>SUM(O147:R147)</f>
        <v>5597</v>
      </c>
      <c r="T147" s="76"/>
      <c r="U147" s="159"/>
      <c r="V147" s="159"/>
      <c r="W147" s="159"/>
      <c r="X147" s="9">
        <f>SUM(T147:W147)</f>
        <v>0</v>
      </c>
      <c r="Y147" s="161">
        <f>SUM(M147,S147,X147)</f>
        <v>17810</v>
      </c>
      <c r="Z147" s="244">
        <f t="shared" si="117"/>
        <v>0</v>
      </c>
      <c r="AA147" s="1" t="e">
        <f t="shared" ref="AA147:AA158" si="121">1/Z147</f>
        <v>#DIV/0!</v>
      </c>
      <c r="AB147" s="78">
        <f t="shared" si="118"/>
        <v>0</v>
      </c>
      <c r="AC147" s="249">
        <f t="shared" ref="AC147:AC158" si="122">U147/(G147+H147+P147+U147+Q147)</f>
        <v>0</v>
      </c>
      <c r="AD147" s="78">
        <f t="shared" si="119"/>
        <v>0</v>
      </c>
      <c r="AE147" s="253">
        <f t="shared" si="120"/>
        <v>0</v>
      </c>
      <c r="AF147" s="173"/>
    </row>
    <row r="148" spans="1:36" ht="15" customHeight="1" x14ac:dyDescent="0.2">
      <c r="A148" s="344"/>
      <c r="B148" s="68" t="s">
        <v>38</v>
      </c>
      <c r="C148" s="95">
        <v>2386</v>
      </c>
      <c r="D148" s="4">
        <v>1222</v>
      </c>
      <c r="E148" s="4">
        <v>77</v>
      </c>
      <c r="F148" s="150">
        <v>3608</v>
      </c>
      <c r="G148" s="270">
        <v>3329</v>
      </c>
      <c r="H148" s="155">
        <v>0</v>
      </c>
      <c r="I148" s="338">
        <v>230</v>
      </c>
      <c r="J148" s="80">
        <v>2397</v>
      </c>
      <c r="K148" s="283">
        <v>223</v>
      </c>
      <c r="L148" s="277">
        <v>0</v>
      </c>
      <c r="M148" s="152">
        <f t="shared" ref="M148:M149" si="123">SUM(F148,G148,H148,J148,K148)</f>
        <v>9557</v>
      </c>
      <c r="N148" s="37">
        <f t="shared" ref="N148:N155" si="124">SUM(C148+D148+E148+G148+H148+I148+J148+K148+L148)</f>
        <v>9864</v>
      </c>
      <c r="O148" s="36">
        <v>750</v>
      </c>
      <c r="P148" s="4">
        <v>1806</v>
      </c>
      <c r="Q148" s="4"/>
      <c r="R148" s="4"/>
      <c r="S148" s="75">
        <f t="shared" ref="S148:S154" si="125">SUM(O148:R148)</f>
        <v>2556</v>
      </c>
      <c r="T148" s="159"/>
      <c r="U148" s="159"/>
      <c r="V148" s="159"/>
      <c r="W148" s="159"/>
      <c r="X148" s="9">
        <f t="shared" ref="X148:X159" si="126">SUM(T148:W148)</f>
        <v>0</v>
      </c>
      <c r="Y148" s="161">
        <f t="shared" ref="Y148:Y155" si="127">SUM(M148,S148,X148)</f>
        <v>12113</v>
      </c>
      <c r="Z148" s="244">
        <f t="shared" si="117"/>
        <v>0</v>
      </c>
      <c r="AA148" s="1" t="e">
        <f t="shared" si="121"/>
        <v>#DIV/0!</v>
      </c>
      <c r="AB148" s="78">
        <f t="shared" si="118"/>
        <v>0</v>
      </c>
      <c r="AC148" s="249">
        <f t="shared" si="122"/>
        <v>0</v>
      </c>
      <c r="AD148" s="78">
        <f t="shared" si="119"/>
        <v>0</v>
      </c>
      <c r="AE148" s="253">
        <f t="shared" si="120"/>
        <v>0</v>
      </c>
      <c r="AF148" s="173"/>
      <c r="AG148" s="3"/>
      <c r="AH148" s="3"/>
    </row>
    <row r="149" spans="1:36" ht="15" customHeight="1" x14ac:dyDescent="0.2">
      <c r="A149" s="344"/>
      <c r="B149" s="68" t="s">
        <v>58</v>
      </c>
      <c r="C149" s="95">
        <v>2250</v>
      </c>
      <c r="D149" s="4">
        <v>400</v>
      </c>
      <c r="E149" s="4">
        <v>207</v>
      </c>
      <c r="F149" s="150">
        <v>2650</v>
      </c>
      <c r="G149" s="271">
        <v>2407</v>
      </c>
      <c r="H149" s="155">
        <v>0</v>
      </c>
      <c r="I149" s="338">
        <v>238</v>
      </c>
      <c r="J149" s="80">
        <v>2573</v>
      </c>
      <c r="K149" s="284">
        <v>258</v>
      </c>
      <c r="L149" s="278">
        <v>0</v>
      </c>
      <c r="M149" s="152">
        <f t="shared" si="123"/>
        <v>7888</v>
      </c>
      <c r="N149" s="37">
        <f>SUM(C149+D149+E149+G149+H149+I149+J149+K149+L149)</f>
        <v>8333</v>
      </c>
      <c r="O149" s="36">
        <v>1074</v>
      </c>
      <c r="P149" s="4">
        <v>1437</v>
      </c>
      <c r="Q149" s="4"/>
      <c r="R149" s="4"/>
      <c r="S149" s="75">
        <f t="shared" si="125"/>
        <v>2511</v>
      </c>
      <c r="T149" s="159"/>
      <c r="U149" s="159"/>
      <c r="V149" s="159"/>
      <c r="W149" s="159"/>
      <c r="X149" s="9">
        <f t="shared" si="126"/>
        <v>0</v>
      </c>
      <c r="Y149" s="161">
        <f t="shared" si="127"/>
        <v>10399</v>
      </c>
      <c r="Z149" s="244">
        <f t="shared" si="117"/>
        <v>0</v>
      </c>
      <c r="AA149" s="1" t="e">
        <f t="shared" si="121"/>
        <v>#DIV/0!</v>
      </c>
      <c r="AB149" s="78">
        <f t="shared" si="118"/>
        <v>0</v>
      </c>
      <c r="AC149" s="249">
        <f t="shared" si="122"/>
        <v>0</v>
      </c>
      <c r="AD149" s="78">
        <f t="shared" si="119"/>
        <v>0</v>
      </c>
      <c r="AE149" s="253">
        <f t="shared" si="120"/>
        <v>0</v>
      </c>
      <c r="AF149" s="173"/>
      <c r="AG149" s="42"/>
      <c r="AH149" s="86"/>
      <c r="AI149" s="86"/>
      <c r="AJ149" s="6"/>
    </row>
    <row r="150" spans="1:36" x14ac:dyDescent="0.2">
      <c r="A150" s="344"/>
      <c r="B150" s="68" t="s">
        <v>59</v>
      </c>
      <c r="C150" s="95">
        <v>1136</v>
      </c>
      <c r="D150" s="4">
        <v>633</v>
      </c>
      <c r="E150" s="4">
        <v>162</v>
      </c>
      <c r="F150" s="150">
        <v>1769</v>
      </c>
      <c r="G150" s="51">
        <v>6578</v>
      </c>
      <c r="H150" s="155">
        <v>0</v>
      </c>
      <c r="I150" s="339">
        <v>386</v>
      </c>
      <c r="J150" s="272">
        <v>1851</v>
      </c>
      <c r="K150" s="283">
        <v>211</v>
      </c>
      <c r="L150" s="277">
        <v>0</v>
      </c>
      <c r="M150" s="152">
        <f>SUM(F150,G150,H150,J150,K150)</f>
        <v>10409</v>
      </c>
      <c r="N150" s="37">
        <f t="shared" si="124"/>
        <v>10957</v>
      </c>
      <c r="O150" s="36">
        <v>1251</v>
      </c>
      <c r="P150" s="4">
        <v>1645</v>
      </c>
      <c r="Q150" s="4"/>
      <c r="R150" s="10"/>
      <c r="S150" s="75">
        <f t="shared" si="125"/>
        <v>2896</v>
      </c>
      <c r="T150" s="159"/>
      <c r="U150" s="159"/>
      <c r="V150" s="159"/>
      <c r="W150" s="159"/>
      <c r="X150" s="9">
        <f t="shared" si="126"/>
        <v>0</v>
      </c>
      <c r="Y150" s="161">
        <f t="shared" si="127"/>
        <v>13305</v>
      </c>
      <c r="Z150" s="244">
        <f t="shared" si="117"/>
        <v>0</v>
      </c>
      <c r="AA150" s="1" t="e">
        <f t="shared" si="121"/>
        <v>#DIV/0!</v>
      </c>
      <c r="AB150" s="78">
        <f t="shared" si="118"/>
        <v>0</v>
      </c>
      <c r="AC150" s="249">
        <f t="shared" si="122"/>
        <v>0</v>
      </c>
      <c r="AD150" s="78">
        <f t="shared" si="119"/>
        <v>0</v>
      </c>
      <c r="AE150" s="253">
        <f t="shared" si="120"/>
        <v>0</v>
      </c>
      <c r="AF150" s="173"/>
      <c r="AG150" s="87"/>
      <c r="AJ150" s="88"/>
    </row>
    <row r="151" spans="1:36" ht="15" customHeight="1" x14ac:dyDescent="0.2">
      <c r="A151" s="344"/>
      <c r="B151" s="68" t="s">
        <v>41</v>
      </c>
      <c r="C151" s="95">
        <v>459</v>
      </c>
      <c r="D151" s="4">
        <v>1160</v>
      </c>
      <c r="E151" s="4">
        <v>221</v>
      </c>
      <c r="F151" s="150">
        <v>1619</v>
      </c>
      <c r="G151" s="269">
        <v>7178</v>
      </c>
      <c r="H151" s="155">
        <v>21</v>
      </c>
      <c r="I151" s="339">
        <v>395</v>
      </c>
      <c r="J151" s="272">
        <v>2832</v>
      </c>
      <c r="K151" s="103">
        <v>212</v>
      </c>
      <c r="L151" s="266">
        <v>0</v>
      </c>
      <c r="M151" s="152">
        <f t="shared" ref="M151:M158" si="128">SUM(F151,G151,H151,J151,K151)</f>
        <v>11862</v>
      </c>
      <c r="N151" s="37">
        <f t="shared" si="124"/>
        <v>12478</v>
      </c>
      <c r="O151" s="36">
        <v>1259</v>
      </c>
      <c r="P151" s="4">
        <v>2299</v>
      </c>
      <c r="Q151" s="159"/>
      <c r="R151" s="159"/>
      <c r="S151" s="75">
        <f t="shared" si="125"/>
        <v>3558</v>
      </c>
      <c r="T151" s="159"/>
      <c r="U151" s="159"/>
      <c r="V151" s="159"/>
      <c r="W151" s="159"/>
      <c r="X151" s="9">
        <f t="shared" si="126"/>
        <v>0</v>
      </c>
      <c r="Y151" s="161">
        <f t="shared" si="127"/>
        <v>15420</v>
      </c>
      <c r="Z151" s="244">
        <f t="shared" si="117"/>
        <v>0</v>
      </c>
      <c r="AA151" s="1" t="e">
        <f t="shared" si="121"/>
        <v>#DIV/0!</v>
      </c>
      <c r="AB151" s="78">
        <f t="shared" si="118"/>
        <v>0</v>
      </c>
      <c r="AC151" s="249">
        <f t="shared" si="122"/>
        <v>0</v>
      </c>
      <c r="AD151" s="78">
        <f t="shared" si="119"/>
        <v>0</v>
      </c>
      <c r="AE151" s="253">
        <f t="shared" si="120"/>
        <v>0</v>
      </c>
      <c r="AF151" s="173"/>
      <c r="AG151" s="89"/>
      <c r="AH151" s="90"/>
      <c r="AI151" s="90"/>
      <c r="AJ151" s="91"/>
    </row>
    <row r="152" spans="1:36" s="3" customFormat="1" ht="15" customHeight="1" x14ac:dyDescent="0.2">
      <c r="A152" s="344"/>
      <c r="B152" s="5" t="s">
        <v>42</v>
      </c>
      <c r="C152" s="95">
        <v>338</v>
      </c>
      <c r="D152" s="4">
        <v>1586</v>
      </c>
      <c r="E152" s="4">
        <v>297</v>
      </c>
      <c r="F152" s="150">
        <v>1924</v>
      </c>
      <c r="G152" s="27">
        <v>7089</v>
      </c>
      <c r="H152" s="155">
        <v>60</v>
      </c>
      <c r="I152" s="339">
        <v>547</v>
      </c>
      <c r="J152" s="273">
        <v>4253</v>
      </c>
      <c r="K152" s="274">
        <v>213</v>
      </c>
      <c r="L152" s="296">
        <v>0</v>
      </c>
      <c r="M152" s="152">
        <f t="shared" si="128"/>
        <v>13539</v>
      </c>
      <c r="N152" s="37">
        <f t="shared" si="124"/>
        <v>14383</v>
      </c>
      <c r="O152" s="36">
        <v>1091</v>
      </c>
      <c r="P152" s="4">
        <v>2022</v>
      </c>
      <c r="Q152" s="159"/>
      <c r="R152" s="265"/>
      <c r="S152" s="75">
        <f t="shared" si="125"/>
        <v>3113</v>
      </c>
      <c r="T152" s="159"/>
      <c r="U152" s="159"/>
      <c r="V152" s="159"/>
      <c r="W152" s="159"/>
      <c r="X152" s="9">
        <f t="shared" si="126"/>
        <v>0</v>
      </c>
      <c r="Y152" s="161">
        <f t="shared" si="127"/>
        <v>16652</v>
      </c>
      <c r="Z152" s="244">
        <f t="shared" si="117"/>
        <v>0</v>
      </c>
      <c r="AA152" s="1" t="e">
        <f t="shared" si="121"/>
        <v>#DIV/0!</v>
      </c>
      <c r="AB152" s="78">
        <f t="shared" si="118"/>
        <v>0</v>
      </c>
      <c r="AC152" s="249">
        <f t="shared" si="122"/>
        <v>0</v>
      </c>
      <c r="AD152" s="78">
        <f t="shared" si="119"/>
        <v>0</v>
      </c>
      <c r="AE152" s="253">
        <f t="shared" si="120"/>
        <v>0</v>
      </c>
      <c r="AF152" s="300"/>
      <c r="AG152" s="74"/>
      <c r="AH152" s="74"/>
      <c r="AI152" s="74"/>
      <c r="AJ152" s="74"/>
    </row>
    <row r="153" spans="1:36" s="302" customFormat="1" x14ac:dyDescent="0.2">
      <c r="A153" s="344"/>
      <c r="B153" s="213" t="s">
        <v>43</v>
      </c>
      <c r="C153" s="95">
        <v>254</v>
      </c>
      <c r="D153" s="4">
        <v>1472</v>
      </c>
      <c r="E153" s="4">
        <v>542</v>
      </c>
      <c r="F153" s="150">
        <v>1726</v>
      </c>
      <c r="G153" s="27">
        <v>6485</v>
      </c>
      <c r="H153" s="156">
        <v>3</v>
      </c>
      <c r="I153" s="339">
        <v>755</v>
      </c>
      <c r="J153" s="26">
        <v>6124</v>
      </c>
      <c r="K153" s="324">
        <v>156</v>
      </c>
      <c r="L153" s="305">
        <v>0</v>
      </c>
      <c r="M153" s="152">
        <f t="shared" si="128"/>
        <v>14494</v>
      </c>
      <c r="N153" s="37">
        <f t="shared" si="124"/>
        <v>15791</v>
      </c>
      <c r="O153" s="47">
        <v>2226</v>
      </c>
      <c r="P153" s="4">
        <v>1636</v>
      </c>
      <c r="Q153" s="159"/>
      <c r="R153" s="308"/>
      <c r="S153" s="75">
        <f t="shared" si="125"/>
        <v>3862</v>
      </c>
      <c r="T153" s="47"/>
      <c r="U153" s="31"/>
      <c r="V153" s="31"/>
      <c r="W153" s="31"/>
      <c r="X153" s="9">
        <f t="shared" si="126"/>
        <v>0</v>
      </c>
      <c r="Y153" s="161">
        <f t="shared" si="127"/>
        <v>18356</v>
      </c>
      <c r="Z153" s="244">
        <f t="shared" si="117"/>
        <v>0</v>
      </c>
      <c r="AA153" s="1" t="e">
        <f t="shared" si="121"/>
        <v>#DIV/0!</v>
      </c>
      <c r="AB153" s="78">
        <f t="shared" si="118"/>
        <v>0</v>
      </c>
      <c r="AC153" s="249">
        <f t="shared" si="122"/>
        <v>0</v>
      </c>
      <c r="AD153" s="78">
        <f t="shared" si="119"/>
        <v>0</v>
      </c>
      <c r="AE153" s="253">
        <f t="shared" si="120"/>
        <v>0</v>
      </c>
      <c r="AF153" s="300"/>
      <c r="AG153" s="301"/>
    </row>
    <row r="154" spans="1:36" s="3" customFormat="1" x14ac:dyDescent="0.2">
      <c r="A154" s="344"/>
      <c r="B154" s="5" t="s">
        <v>44</v>
      </c>
      <c r="C154" s="95">
        <v>551</v>
      </c>
      <c r="D154" s="4">
        <v>2513</v>
      </c>
      <c r="E154" s="4">
        <v>609</v>
      </c>
      <c r="F154" s="150">
        <v>3064</v>
      </c>
      <c r="G154" s="27">
        <v>6148</v>
      </c>
      <c r="H154" s="55">
        <v>0</v>
      </c>
      <c r="I154" s="340">
        <v>819</v>
      </c>
      <c r="J154" s="96">
        <v>2898</v>
      </c>
      <c r="K154" s="323">
        <v>190</v>
      </c>
      <c r="L154" s="27">
        <v>0</v>
      </c>
      <c r="M154" s="152">
        <f t="shared" si="128"/>
        <v>12300</v>
      </c>
      <c r="N154" s="37">
        <f t="shared" si="124"/>
        <v>13728</v>
      </c>
      <c r="O154" s="36">
        <v>2007</v>
      </c>
      <c r="P154" s="4">
        <v>2229</v>
      </c>
      <c r="Q154" s="4"/>
      <c r="R154" s="10"/>
      <c r="S154" s="75">
        <f t="shared" si="125"/>
        <v>4236</v>
      </c>
      <c r="T154" s="36"/>
      <c r="U154" s="4"/>
      <c r="V154" s="4"/>
      <c r="W154" s="4"/>
      <c r="X154" s="9">
        <f t="shared" si="126"/>
        <v>0</v>
      </c>
      <c r="Y154" s="161">
        <f t="shared" si="127"/>
        <v>16536</v>
      </c>
      <c r="Z154" s="244">
        <f t="shared" si="117"/>
        <v>0</v>
      </c>
      <c r="AA154" s="1" t="e">
        <f t="shared" si="121"/>
        <v>#DIV/0!</v>
      </c>
      <c r="AB154" s="78">
        <f t="shared" si="118"/>
        <v>0</v>
      </c>
      <c r="AC154" s="249">
        <f t="shared" si="122"/>
        <v>0</v>
      </c>
      <c r="AD154" s="78">
        <f t="shared" si="119"/>
        <v>0</v>
      </c>
      <c r="AE154" s="253">
        <f t="shared" si="120"/>
        <v>0</v>
      </c>
      <c r="AF154" s="172"/>
    </row>
    <row r="155" spans="1:36" x14ac:dyDescent="0.2">
      <c r="A155" s="344"/>
      <c r="B155" s="5" t="s">
        <v>45</v>
      </c>
      <c r="C155" s="95">
        <v>752</v>
      </c>
      <c r="D155" s="4">
        <v>2116</v>
      </c>
      <c r="E155" s="4">
        <v>677</v>
      </c>
      <c r="F155" s="150">
        <v>2868</v>
      </c>
      <c r="G155" s="27">
        <v>8315</v>
      </c>
      <c r="H155" s="306">
        <v>35</v>
      </c>
      <c r="I155" s="341">
        <v>0</v>
      </c>
      <c r="J155" s="2">
        <v>4009</v>
      </c>
      <c r="K155" s="335">
        <v>236</v>
      </c>
      <c r="L155" s="28">
        <v>0</v>
      </c>
      <c r="M155" s="336">
        <f t="shared" si="128"/>
        <v>15463</v>
      </c>
      <c r="N155" s="337">
        <f t="shared" si="124"/>
        <v>16140</v>
      </c>
      <c r="O155" s="47">
        <v>2461</v>
      </c>
      <c r="P155" s="4">
        <v>4279</v>
      </c>
      <c r="Q155" s="4"/>
      <c r="R155" s="10"/>
      <c r="S155" s="75">
        <f>SUM(O155:R155)</f>
        <v>6740</v>
      </c>
      <c r="T155" s="36"/>
      <c r="U155" s="4"/>
      <c r="V155" s="4"/>
      <c r="W155" s="4"/>
      <c r="X155" s="9">
        <f t="shared" si="126"/>
        <v>0</v>
      </c>
      <c r="Y155" s="161">
        <f t="shared" si="127"/>
        <v>22203</v>
      </c>
      <c r="Z155" s="244">
        <f t="shared" si="117"/>
        <v>0</v>
      </c>
      <c r="AA155" s="1" t="e">
        <f t="shared" si="121"/>
        <v>#DIV/0!</v>
      </c>
      <c r="AB155" s="78">
        <f t="shared" si="118"/>
        <v>0</v>
      </c>
      <c r="AC155" s="249">
        <f t="shared" si="122"/>
        <v>0</v>
      </c>
      <c r="AD155" s="78">
        <f t="shared" si="119"/>
        <v>0</v>
      </c>
      <c r="AE155" s="253">
        <f t="shared" si="120"/>
        <v>0</v>
      </c>
      <c r="AF155" s="173"/>
    </row>
    <row r="156" spans="1:36" x14ac:dyDescent="0.2">
      <c r="A156" s="344"/>
      <c r="B156" s="5" t="s">
        <v>46</v>
      </c>
      <c r="C156" s="95">
        <v>1175</v>
      </c>
      <c r="D156" s="4">
        <v>873</v>
      </c>
      <c r="E156" s="93">
        <v>263</v>
      </c>
      <c r="F156" s="150">
        <v>2048</v>
      </c>
      <c r="G156" s="2">
        <v>12864</v>
      </c>
      <c r="H156" s="55">
        <v>0</v>
      </c>
      <c r="I156" s="342">
        <v>0</v>
      </c>
      <c r="J156" s="36">
        <v>3552</v>
      </c>
      <c r="K156" s="316">
        <v>0</v>
      </c>
      <c r="L156" s="316">
        <v>0</v>
      </c>
      <c r="M156" s="336">
        <f t="shared" si="128"/>
        <v>18464</v>
      </c>
      <c r="N156" s="337">
        <f>SUM(C156+D156+E156+G156+H156+I156+J156+K156+L156)</f>
        <v>18727</v>
      </c>
      <c r="O156" s="36">
        <v>2267</v>
      </c>
      <c r="P156" s="4">
        <v>2758</v>
      </c>
      <c r="Q156" s="4"/>
      <c r="R156" s="4"/>
      <c r="S156" s="75">
        <f>SUM(O156:R156)</f>
        <v>5025</v>
      </c>
      <c r="T156" s="36"/>
      <c r="U156" s="4"/>
      <c r="V156" s="4"/>
      <c r="X156" s="9">
        <f t="shared" si="126"/>
        <v>0</v>
      </c>
      <c r="Y156" s="161">
        <f>SUM(M156,S156,X156)</f>
        <v>23489</v>
      </c>
      <c r="Z156" s="244">
        <f t="shared" si="117"/>
        <v>0</v>
      </c>
      <c r="AA156" s="1" t="e">
        <f t="shared" si="121"/>
        <v>#DIV/0!</v>
      </c>
      <c r="AB156" s="78">
        <f t="shared" si="118"/>
        <v>0</v>
      </c>
      <c r="AC156" s="249">
        <f t="shared" si="122"/>
        <v>0</v>
      </c>
      <c r="AD156" s="78">
        <f t="shared" si="119"/>
        <v>0</v>
      </c>
      <c r="AE156" s="253">
        <f t="shared" si="120"/>
        <v>0</v>
      </c>
      <c r="AF156" s="173"/>
      <c r="AG156" s="30"/>
      <c r="AH156" s="30"/>
      <c r="AI156" s="30"/>
      <c r="AJ156" s="30"/>
    </row>
    <row r="157" spans="1:36" x14ac:dyDescent="0.2">
      <c r="A157" s="344"/>
      <c r="B157" s="5" t="s">
        <v>47</v>
      </c>
      <c r="C157" s="95"/>
      <c r="D157" s="4"/>
      <c r="E157" s="141"/>
      <c r="F157" s="150">
        <f t="shared" ref="F157:F158" si="129">SUM(C157:D157)</f>
        <v>0</v>
      </c>
      <c r="G157" s="2"/>
      <c r="H157" s="55"/>
      <c r="I157" s="36"/>
      <c r="J157" s="27"/>
      <c r="K157" s="28"/>
      <c r="L157" s="28"/>
      <c r="M157" s="336">
        <f t="shared" si="128"/>
        <v>0</v>
      </c>
      <c r="N157" s="337">
        <f t="shared" ref="N157:N158" si="130">SUM(C157+D157+E157+G157+H157+I157+J157+K157+L157)</f>
        <v>0</v>
      </c>
      <c r="O157" s="36"/>
      <c r="P157" s="4"/>
      <c r="Q157" s="10"/>
      <c r="R157" s="160"/>
      <c r="S157" s="334">
        <f>SUM(O157:R157)</f>
        <v>0</v>
      </c>
      <c r="T157" s="36"/>
      <c r="U157" s="4"/>
      <c r="V157" s="4"/>
      <c r="W157" s="4"/>
      <c r="X157" s="9">
        <f t="shared" si="126"/>
        <v>0</v>
      </c>
      <c r="Y157" s="317">
        <f t="shared" ref="Y157:Y159" si="131">SUM(M157,S157,X157)</f>
        <v>0</v>
      </c>
      <c r="Z157" s="329" t="e">
        <f t="shared" si="117"/>
        <v>#DIV/0!</v>
      </c>
      <c r="AA157" s="330" t="e">
        <f t="shared" si="121"/>
        <v>#DIV/0!</v>
      </c>
      <c r="AB157" s="331" t="e">
        <f t="shared" si="118"/>
        <v>#DIV/0!</v>
      </c>
      <c r="AC157" s="331" t="e">
        <f t="shared" si="122"/>
        <v>#DIV/0!</v>
      </c>
      <c r="AD157" s="331" t="e">
        <f t="shared" si="119"/>
        <v>#DIV/0!</v>
      </c>
      <c r="AE157" s="332" t="e">
        <f t="shared" si="120"/>
        <v>#DIV/0!</v>
      </c>
      <c r="AF157" s="173"/>
    </row>
    <row r="158" spans="1:36" ht="16" thickBot="1" x14ac:dyDescent="0.25">
      <c r="A158" s="345"/>
      <c r="B158" s="55" t="s">
        <v>48</v>
      </c>
      <c r="C158" s="36"/>
      <c r="D158" s="4"/>
      <c r="E158" s="2"/>
      <c r="F158" s="150">
        <f t="shared" si="129"/>
        <v>0</v>
      </c>
      <c r="G158" s="2"/>
      <c r="H158" s="52"/>
      <c r="I158" s="281"/>
      <c r="J158" s="27"/>
      <c r="K158" s="27"/>
      <c r="L158" s="27"/>
      <c r="M158" s="152">
        <f t="shared" si="128"/>
        <v>0</v>
      </c>
      <c r="N158" s="37">
        <f t="shared" si="130"/>
        <v>0</v>
      </c>
      <c r="O158" s="36"/>
      <c r="P158" s="4"/>
      <c r="Q158" s="10"/>
      <c r="R158" s="160"/>
      <c r="S158" s="334">
        <f t="shared" ref="S158:S159" si="132">SUM(O158:R158)</f>
        <v>0</v>
      </c>
      <c r="T158" s="36"/>
      <c r="U158" s="4"/>
      <c r="V158" s="4"/>
      <c r="W158" s="4"/>
      <c r="X158" s="9">
        <f t="shared" si="126"/>
        <v>0</v>
      </c>
      <c r="Y158" s="317">
        <f t="shared" si="131"/>
        <v>0</v>
      </c>
      <c r="Z158" s="329" t="e">
        <f t="shared" si="117"/>
        <v>#DIV/0!</v>
      </c>
      <c r="AA158" s="330" t="e">
        <f t="shared" si="121"/>
        <v>#DIV/0!</v>
      </c>
      <c r="AB158" s="331" t="e">
        <f t="shared" si="118"/>
        <v>#DIV/0!</v>
      </c>
      <c r="AC158" s="331" t="e">
        <f t="shared" si="122"/>
        <v>#DIV/0!</v>
      </c>
      <c r="AD158" s="331" t="e">
        <f t="shared" si="119"/>
        <v>#DIV/0!</v>
      </c>
      <c r="AE158" s="332" t="e">
        <f t="shared" si="120"/>
        <v>#DIV/0!</v>
      </c>
      <c r="AF158" s="173"/>
    </row>
    <row r="159" spans="1:36" s="3" customFormat="1" ht="16" thickBot="1" x14ac:dyDescent="0.25">
      <c r="A159" s="236"/>
      <c r="B159" s="211" t="s">
        <v>77</v>
      </c>
      <c r="C159" s="216">
        <f t="shared" ref="C159:R159" si="133">SUM(C147:C158)</f>
        <v>14053</v>
      </c>
      <c r="D159" s="72">
        <f t="shared" si="133"/>
        <v>12584</v>
      </c>
      <c r="E159" s="72">
        <f t="shared" si="133"/>
        <v>3150</v>
      </c>
      <c r="F159" s="216">
        <f>SUM(F147:F158)</f>
        <v>26637</v>
      </c>
      <c r="G159" s="216">
        <f t="shared" si="133"/>
        <v>63872</v>
      </c>
      <c r="H159" s="84">
        <f t="shared" si="133"/>
        <v>146</v>
      </c>
      <c r="I159" s="72">
        <f t="shared" si="133"/>
        <v>3595</v>
      </c>
      <c r="J159" s="29">
        <f t="shared" si="133"/>
        <v>33692</v>
      </c>
      <c r="K159" s="29">
        <f t="shared" si="133"/>
        <v>1842</v>
      </c>
      <c r="L159" s="29">
        <f t="shared" si="133"/>
        <v>0</v>
      </c>
      <c r="M159" s="72">
        <f t="shared" si="133"/>
        <v>126189</v>
      </c>
      <c r="N159" s="72">
        <f t="shared" si="133"/>
        <v>132934</v>
      </c>
      <c r="O159" s="130">
        <f t="shared" si="133"/>
        <v>17585</v>
      </c>
      <c r="P159" s="20">
        <f t="shared" si="133"/>
        <v>22509</v>
      </c>
      <c r="Q159" s="20">
        <f t="shared" si="133"/>
        <v>0</v>
      </c>
      <c r="R159" s="20">
        <f t="shared" si="133"/>
        <v>0</v>
      </c>
      <c r="S159" s="85">
        <f t="shared" si="132"/>
        <v>40094</v>
      </c>
      <c r="T159" s="44"/>
      <c r="U159" s="60"/>
      <c r="V159" s="60"/>
      <c r="W159" s="60"/>
      <c r="X159" s="41">
        <f t="shared" si="126"/>
        <v>0</v>
      </c>
      <c r="Y159" s="166">
        <f t="shared" si="131"/>
        <v>166283</v>
      </c>
      <c r="Z159" s="262">
        <f t="shared" ref="Z159" si="134">X159/Y159</f>
        <v>0</v>
      </c>
      <c r="AA159" s="263"/>
      <c r="AB159" s="257">
        <f t="shared" ref="AB159" si="135">T159/(J159+K159+L159+O159+T159)</f>
        <v>0</v>
      </c>
      <c r="AC159" s="257">
        <f>U159/(G159+H159+P159+U159+Q159)</f>
        <v>0</v>
      </c>
      <c r="AD159" s="257">
        <f t="shared" ref="AD159" si="136">V159/(D159+E159+V159)</f>
        <v>0</v>
      </c>
      <c r="AE159" s="261">
        <f t="shared" ref="AE159" si="137">W159/(C159+W159)</f>
        <v>0</v>
      </c>
      <c r="AF159" s="172"/>
    </row>
    <row r="160" spans="1:36" x14ac:dyDescent="0.2">
      <c r="A160" s="241"/>
      <c r="B160" s="217" t="s">
        <v>78</v>
      </c>
      <c r="C160" s="309" t="s">
        <v>79</v>
      </c>
      <c r="D160" s="309" t="s">
        <v>79</v>
      </c>
      <c r="E160" s="309" t="s">
        <v>79</v>
      </c>
      <c r="F160" s="309" t="s">
        <v>79</v>
      </c>
      <c r="G160" s="309" t="s">
        <v>79</v>
      </c>
      <c r="H160" s="309" t="s">
        <v>79</v>
      </c>
      <c r="I160" s="309" t="s">
        <v>79</v>
      </c>
      <c r="J160" s="309" t="s">
        <v>79</v>
      </c>
      <c r="K160" s="309" t="s">
        <v>79</v>
      </c>
      <c r="L160" s="309" t="s">
        <v>79</v>
      </c>
      <c r="M160" s="310" t="s">
        <v>80</v>
      </c>
      <c r="N160" s="311"/>
      <c r="O160" s="309" t="s">
        <v>79</v>
      </c>
      <c r="P160" s="333" t="s">
        <v>81</v>
      </c>
      <c r="Q160" s="333" t="s">
        <v>82</v>
      </c>
      <c r="R160" s="309">
        <v>45629</v>
      </c>
      <c r="S160" s="312" t="s">
        <v>80</v>
      </c>
      <c r="T160" s="309">
        <v>45629</v>
      </c>
      <c r="U160" s="333" t="s">
        <v>83</v>
      </c>
      <c r="V160" s="309">
        <v>45629</v>
      </c>
      <c r="W160" s="309">
        <v>45629</v>
      </c>
      <c r="X160" s="242"/>
      <c r="Y160" s="243"/>
      <c r="Z160" s="1"/>
      <c r="AA160" s="1"/>
      <c r="AB160" s="1"/>
      <c r="AC160" s="1">
        <f>1/AC120</f>
        <v>116.47635850388146</v>
      </c>
      <c r="AD160" s="1"/>
      <c r="AE160" s="1"/>
    </row>
    <row r="161" spans="1:31" ht="77.25" customHeight="1" thickBot="1" x14ac:dyDescent="0.25">
      <c r="A161" s="241"/>
      <c r="B161" s="218" t="s">
        <v>84</v>
      </c>
      <c r="C161" s="219" t="s">
        <v>85</v>
      </c>
      <c r="D161" s="219" t="s">
        <v>85</v>
      </c>
      <c r="E161" s="220" t="s">
        <v>86</v>
      </c>
      <c r="F161" s="219" t="s">
        <v>85</v>
      </c>
      <c r="G161" s="219" t="s">
        <v>87</v>
      </c>
      <c r="H161" s="221" t="s">
        <v>88</v>
      </c>
      <c r="I161" s="222" t="s">
        <v>89</v>
      </c>
      <c r="J161" s="221" t="s">
        <v>90</v>
      </c>
      <c r="K161" s="221" t="s">
        <v>91</v>
      </c>
      <c r="L161" s="221"/>
      <c r="M161" s="133"/>
      <c r="N161" s="133"/>
      <c r="O161" s="223" t="s">
        <v>92</v>
      </c>
      <c r="P161" s="224" t="s">
        <v>93</v>
      </c>
      <c r="Q161" s="225" t="s">
        <v>94</v>
      </c>
      <c r="R161" s="226" t="s">
        <v>95</v>
      </c>
      <c r="S161" s="227"/>
      <c r="T161" s="228" t="s">
        <v>96</v>
      </c>
      <c r="U161" s="229" t="s">
        <v>96</v>
      </c>
      <c r="V161" s="229" t="s">
        <v>96</v>
      </c>
      <c r="W161" s="229" t="s">
        <v>96</v>
      </c>
      <c r="X161" s="133"/>
      <c r="Y161" s="230"/>
      <c r="Z161" s="231"/>
      <c r="AA161" s="1"/>
      <c r="AB161" s="1"/>
      <c r="AC161" s="1"/>
      <c r="AD161" s="1"/>
      <c r="AE161" s="1"/>
    </row>
  </sheetData>
  <mergeCells count="23">
    <mergeCell ref="A147:A158"/>
    <mergeCell ref="AI55:AM58"/>
    <mergeCell ref="C3:F3"/>
    <mergeCell ref="C2:N2"/>
    <mergeCell ref="T2:Y2"/>
    <mergeCell ref="G3:H3"/>
    <mergeCell ref="I3:L3"/>
    <mergeCell ref="Z1:Z3"/>
    <mergeCell ref="AA1:AA3"/>
    <mergeCell ref="AB1:AB3"/>
    <mergeCell ref="AC1:AC3"/>
    <mergeCell ref="Q46:Q48"/>
    <mergeCell ref="Q49:Q50"/>
    <mergeCell ref="A108:A119"/>
    <mergeCell ref="A121:A132"/>
    <mergeCell ref="A134:A145"/>
    <mergeCell ref="A30:A41"/>
    <mergeCell ref="A43:A54"/>
    <mergeCell ref="AD1:AD3"/>
    <mergeCell ref="AE1:AE3"/>
    <mergeCell ref="O2:S2"/>
    <mergeCell ref="A4:A15"/>
    <mergeCell ref="A17:A28"/>
  </mergeCells>
  <phoneticPr fontId="35" type="noConversion"/>
  <pageMargins left="0.7" right="0.7" top="0.75" bottom="0.75" header="0.3" footer="0.3"/>
  <pageSetup paperSize="9" orientation="portrait" r:id="rId1"/>
  <ignoredErrors>
    <ignoredError sqref="D29 F43:F54 E55 C55 F56:F67 F68:F80 F82:F93" formulaRange="1"/>
    <ignoredError sqref="F55 F81 F94:F106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b3958c7-5c45-4b50-b03d-84bc2f76e7d5">
      <UserInfo>
        <DisplayName>AMRAN KHAN Mohammad</DisplayName>
        <AccountId>525</AccountId>
        <AccountType/>
      </UserInfo>
      <UserInfo>
        <DisplayName>COLY Wilfried</DisplayName>
        <AccountId>75</AccountId>
        <AccountType/>
      </UserInfo>
      <UserInfo>
        <DisplayName>NAFEA Tasnim</DisplayName>
        <AccountId>10342</AccountId>
        <AccountType/>
      </UserInfo>
    </SharedWithUsers>
    <Tag xmlns="643743e9-0e0a-47d5-aed0-7025617f966f" xsi:nil="true"/>
    <Project xmlns="643743e9-0e0a-47d5-aed0-7025617f966f" xsi:nil="true"/>
    <TaxCatchAll xmlns="9b3958c7-5c45-4b50-b03d-84bc2f76e7d5" xsi:nil="true"/>
    <lcf76f155ced4ddcb4097134ff3c332f xmlns="643743e9-0e0a-47d5-aed0-7025617f966f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30247532B5824F931AE99BEC4DCCAF" ma:contentTypeVersion="23" ma:contentTypeDescription="Create a new document." ma:contentTypeScope="" ma:versionID="7815c3d7fd3af1708d48dea79e22bf43">
  <xsd:schema xmlns:xsd="http://www.w3.org/2001/XMLSchema" xmlns:xs="http://www.w3.org/2001/XMLSchema" xmlns:p="http://schemas.microsoft.com/office/2006/metadata/properties" xmlns:ns1="http://schemas.microsoft.com/sharepoint/v3" xmlns:ns2="643743e9-0e0a-47d5-aed0-7025617f966f" xmlns:ns3="9b3958c7-5c45-4b50-b03d-84bc2f76e7d5" targetNamespace="http://schemas.microsoft.com/office/2006/metadata/properties" ma:root="true" ma:fieldsID="ec78c7dcae1cab2f685a8b73a58ac230" ns1:_="" ns2:_="" ns3:_="">
    <xsd:import namespace="http://schemas.microsoft.com/sharepoint/v3"/>
    <xsd:import namespace="643743e9-0e0a-47d5-aed0-7025617f966f"/>
    <xsd:import namespace="9b3958c7-5c45-4b50-b03d-84bc2f76e7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Project" minOccurs="0"/>
                <xsd:element ref="ns2:Tag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3743e9-0e0a-47d5-aed0-7025617f9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Project" ma:index="21" nillable="true" ma:displayName="Project" ma:description="MGI&#10;Missing Migrants&#10;Migration Data Portal&#10;Data Innovation&#10;Migration Network Hub&#10;Misc" ma:internalName="Project">
      <xsd:simpleType>
        <xsd:restriction base="dms:Text">
          <xsd:maxLength value="255"/>
        </xsd:restriction>
      </xsd:simpleType>
    </xsd:element>
    <xsd:element name="Tag" ma:index="22" nillable="true" ma:displayName="Tag" ma:format="Dropdown" ma:internalName="Tag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3958c7-5c45-4b50-b03d-84bc2f76e7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c2fc9541-0d7f-4b7c-a814-0aaeb0874d8a}" ma:internalName="TaxCatchAll" ma:showField="CatchAllData" ma:web="9b3958c7-5c45-4b50-b03d-84bc2f76e7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EBB18F-2917-47EB-AB60-541D6662421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14C2F52-CA48-4649-B2F5-86DD9515D34A}">
  <ds:schemaRefs>
    <ds:schemaRef ds:uri="http://schemas.microsoft.com/office/2006/metadata/properties"/>
    <ds:schemaRef ds:uri="http://schemas.microsoft.com/office/infopath/2007/PartnerControls"/>
    <ds:schemaRef ds:uri="9b3958c7-5c45-4b50-b03d-84bc2f76e7d5"/>
    <ds:schemaRef ds:uri="643743e9-0e0a-47d5-aed0-7025617f966f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1963213D-2E31-4C0C-B99C-2004AA953ED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4EF5C6B-2E66-4ED0-B0B2-8433A07DB8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43743e9-0e0a-47d5-aed0-7025617f966f"/>
    <ds:schemaRef ds:uri="9b3958c7-5c45-4b50-b03d-84bc2f76e7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Crossings 2014-24 ALL ROUTE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BLACK Julia</dc:creator>
  <cp:keywords/>
  <dc:description/>
  <cp:lastModifiedBy>Giorgio Coppola</cp:lastModifiedBy>
  <cp:revision/>
  <dcterms:created xsi:type="dcterms:W3CDTF">2016-07-05T12:33:23Z</dcterms:created>
  <dcterms:modified xsi:type="dcterms:W3CDTF">2026-01-05T15:26:08Z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0x0101006B30247532B5824F931AE99BEC4DCCAF</vt:lpwstr>
  </property>
  <property fmtid="{D5CDD505-2E9C-101B-9397-08002B2CF9AE}" pid="3" name="MSIP_Label_2059aa38-f392-4105-be92-628035578272_Enabled">
    <vt:lpwstr>true</vt:lpwstr>
  </property>
  <property fmtid="{D5CDD505-2E9C-101B-9397-08002B2CF9AE}" pid="4" name="MSIP_Label_2059aa38-f392-4105-be92-628035578272_SetDate">
    <vt:lpwstr>2020-04-09T08:25:55Z</vt:lpwstr>
  </property>
  <property fmtid="{D5CDD505-2E9C-101B-9397-08002B2CF9AE}" pid="5" name="MSIP_Label_2059aa38-f392-4105-be92-628035578272_Method">
    <vt:lpwstr>Standard</vt:lpwstr>
  </property>
  <property fmtid="{D5CDD505-2E9C-101B-9397-08002B2CF9AE}" pid="6" name="MSIP_Label_2059aa38-f392-4105-be92-628035578272_Name">
    <vt:lpwstr>IOMLb0020IN123173</vt:lpwstr>
  </property>
  <property fmtid="{D5CDD505-2E9C-101B-9397-08002B2CF9AE}" pid="7" name="MSIP_Label_2059aa38-f392-4105-be92-628035578272_SiteId">
    <vt:lpwstr>1588262d-23fb-43b4-bd6e-bce49c8e6186</vt:lpwstr>
  </property>
  <property fmtid="{D5CDD505-2E9C-101B-9397-08002B2CF9AE}" pid="8" name="MSIP_Label_2059aa38-f392-4105-be92-628035578272_ActionId">
    <vt:lpwstr>8d9cfe50-dcbb-44f0-b0a2-000011c7e210</vt:lpwstr>
  </property>
  <property fmtid="{D5CDD505-2E9C-101B-9397-08002B2CF9AE}" pid="9" name="MSIP_Label_2059aa38-f392-4105-be92-628035578272_ContentBits">
    <vt:lpwstr>0</vt:lpwstr>
  </property>
  <property fmtid="{D5CDD505-2E9C-101B-9397-08002B2CF9AE}" pid="10" name="MediaServiceImageTags">
    <vt:lpwstr/>
  </property>
</Properties>
</file>